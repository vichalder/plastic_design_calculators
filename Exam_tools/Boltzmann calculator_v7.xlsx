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5.xml" ContentType="application/vnd.openxmlformats-officedocument.spreadsheetml.worksheet+xml"/>
  <Override PartName="/xl/chartsheets/sheet9.xml" ContentType="application/vnd.openxmlformats-officedocument.spreadsheetml.chart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yazh\Desktop\"/>
    </mc:Choice>
  </mc:AlternateContent>
  <xr:revisionPtr revIDLastSave="0" documentId="8_{D84343E1-7D86-4F7E-8A6B-DECF3F25D0FF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Chart 2D POWER (2)" sheetId="16" r:id="rId1"/>
    <sheet name="Sheet1" sheetId="15" r:id="rId2"/>
    <sheet name="Chart 2D POWER" sheetId="6" r:id="rId3"/>
    <sheet name="J(t,T) 2D" sheetId="4" r:id="rId4"/>
    <sheet name="J(t,T) 3D" sheetId="5" r:id="rId5"/>
    <sheet name="DATA J(t,T)" sheetId="1" r:id="rId6"/>
    <sheet name="J(t,T) plot" sheetId="9" r:id="rId7"/>
    <sheet name="J(t,T) plot (2)" sheetId="13" r:id="rId8"/>
    <sheet name="DATA J(t,T) (2)" sheetId="8" r:id="rId9"/>
    <sheet name="DATA E(t,T)" sheetId="7" r:id="rId10"/>
    <sheet name="E(t,T) plot" sheetId="11" r:id="rId11"/>
    <sheet name="E(t,T) plot (2)" sheetId="12" r:id="rId12"/>
    <sheet name="DATA E(t,T) (2)" sheetId="10" r:id="rId13"/>
    <sheet name="E(t,T) plot (3)" sheetId="14" r:id="rId14"/>
    <sheet name="143E campusplastics" sheetId="2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3" i="15" l="1"/>
  <c r="F13" i="15" s="1"/>
  <c r="G13" i="15" s="1"/>
  <c r="C37" i="8"/>
  <c r="G37" i="8" s="1"/>
  <c r="C33" i="10"/>
  <c r="E33" i="10"/>
  <c r="E16" i="15"/>
  <c r="I16" i="15" s="1"/>
  <c r="J16" i="15" s="1"/>
  <c r="I10" i="15"/>
  <c r="J10" i="15" s="1"/>
  <c r="C5" i="15"/>
  <c r="C4" i="15"/>
  <c r="C3" i="15"/>
  <c r="H3" i="15"/>
  <c r="E12" i="15"/>
  <c r="I12" i="15" s="1"/>
  <c r="J12" i="15" s="1"/>
  <c r="E11" i="15"/>
  <c r="F11" i="15" s="1"/>
  <c r="G11" i="15" s="1"/>
  <c r="E10" i="15"/>
  <c r="F10" i="15" s="1"/>
  <c r="G10" i="15" s="1"/>
  <c r="E9" i="15"/>
  <c r="I9" i="15" s="1"/>
  <c r="J9" i="15" s="1"/>
  <c r="E8" i="15"/>
  <c r="I8" i="15" s="1"/>
  <c r="J8" i="15" s="1"/>
  <c r="E7" i="15"/>
  <c r="I7" i="15" s="1"/>
  <c r="J7" i="15" s="1"/>
  <c r="E6" i="15"/>
  <c r="F6" i="15" s="1"/>
  <c r="G6" i="15" s="1"/>
  <c r="E5" i="15"/>
  <c r="I5" i="15" s="1"/>
  <c r="J5" i="15" s="1"/>
  <c r="E4" i="15"/>
  <c r="F4" i="15" s="1"/>
  <c r="G4" i="15" s="1"/>
  <c r="E3" i="15"/>
  <c r="F3" i="15" s="1"/>
  <c r="G3" i="15" s="1"/>
  <c r="B3" i="10"/>
  <c r="A4" i="10"/>
  <c r="B4" i="10" s="1"/>
  <c r="B12" i="10"/>
  <c r="C12" i="10" s="1"/>
  <c r="D12" i="10"/>
  <c r="E12" i="10"/>
  <c r="E13" i="10"/>
  <c r="E14" i="10" s="1"/>
  <c r="D14" i="10"/>
  <c r="B16" i="10"/>
  <c r="C16" i="10" s="1"/>
  <c r="C24" i="10" s="1"/>
  <c r="E16" i="10"/>
  <c r="E24" i="10" s="1"/>
  <c r="A17" i="10"/>
  <c r="A18" i="10" s="1"/>
  <c r="B22" i="10"/>
  <c r="D22" i="10" s="1"/>
  <c r="C22" i="10"/>
  <c r="B24" i="10"/>
  <c r="A25" i="10"/>
  <c r="B25" i="10"/>
  <c r="A26" i="10"/>
  <c r="A27" i="10" s="1"/>
  <c r="B33" i="10"/>
  <c r="D33" i="10"/>
  <c r="D42" i="10" s="1"/>
  <c r="A34" i="10"/>
  <c r="A35" i="10" s="1"/>
  <c r="C34" i="10"/>
  <c r="D34" i="10"/>
  <c r="E34" i="10"/>
  <c r="C35" i="10"/>
  <c r="C44" i="10" s="1"/>
  <c r="D35" i="10"/>
  <c r="D44" i="10" s="1"/>
  <c r="E35" i="10"/>
  <c r="E44" i="10" s="1"/>
  <c r="C36" i="10"/>
  <c r="C45" i="10" s="1"/>
  <c r="D36" i="10"/>
  <c r="D45" i="10" s="1"/>
  <c r="E36" i="10"/>
  <c r="C37" i="10"/>
  <c r="C46" i="10" s="1"/>
  <c r="D37" i="10"/>
  <c r="D46" i="10" s="1"/>
  <c r="E37" i="10"/>
  <c r="E46" i="10" s="1"/>
  <c r="C38" i="10"/>
  <c r="C47" i="10" s="1"/>
  <c r="D38" i="10"/>
  <c r="D47" i="10" s="1"/>
  <c r="E38" i="10"/>
  <c r="E47" i="10" s="1"/>
  <c r="B42" i="10"/>
  <c r="C42" i="10"/>
  <c r="E42" i="10"/>
  <c r="A43" i="10"/>
  <c r="A44" i="10" s="1"/>
  <c r="C43" i="10"/>
  <c r="D43" i="10"/>
  <c r="E43" i="10"/>
  <c r="E45" i="10"/>
  <c r="B3" i="8"/>
  <c r="A4" i="8"/>
  <c r="B4" i="8" s="1"/>
  <c r="B9" i="8"/>
  <c r="B12" i="8"/>
  <c r="C12" i="8" s="1"/>
  <c r="E12" i="8"/>
  <c r="E13" i="8"/>
  <c r="E14" i="8" s="1"/>
  <c r="D14" i="8"/>
  <c r="B16" i="8"/>
  <c r="C16" i="8" s="1"/>
  <c r="C24" i="8" s="1"/>
  <c r="A17" i="8"/>
  <c r="A18" i="8" s="1"/>
  <c r="B22" i="8"/>
  <c r="D22" i="8" s="1"/>
  <c r="D9" i="8" s="1"/>
  <c r="C22" i="8"/>
  <c r="C9" i="8" s="1"/>
  <c r="B24" i="8"/>
  <c r="A25" i="8"/>
  <c r="A26" i="8" s="1"/>
  <c r="B25" i="8"/>
  <c r="B33" i="8"/>
  <c r="C33" i="8"/>
  <c r="G33" i="8" s="1"/>
  <c r="D33" i="8"/>
  <c r="D42" i="8" s="1"/>
  <c r="E33" i="8"/>
  <c r="I33" i="8" s="1"/>
  <c r="A34" i="8"/>
  <c r="B34" i="8" s="1"/>
  <c r="C34" i="8"/>
  <c r="G34" i="8" s="1"/>
  <c r="D34" i="8"/>
  <c r="H34" i="8" s="1"/>
  <c r="E34" i="8"/>
  <c r="E43" i="8" s="1"/>
  <c r="C35" i="8"/>
  <c r="G35" i="8" s="1"/>
  <c r="D35" i="8"/>
  <c r="H35" i="8" s="1"/>
  <c r="E35" i="8"/>
  <c r="I35" i="8" s="1"/>
  <c r="C36" i="8"/>
  <c r="G36" i="8" s="1"/>
  <c r="D36" i="8"/>
  <c r="D45" i="8" s="1"/>
  <c r="E36" i="8"/>
  <c r="E45" i="8" s="1"/>
  <c r="D37" i="8"/>
  <c r="H37" i="8" s="1"/>
  <c r="E37" i="8"/>
  <c r="I37" i="8" s="1"/>
  <c r="C38" i="8"/>
  <c r="C47" i="8" s="1"/>
  <c r="D38" i="8"/>
  <c r="H38" i="8" s="1"/>
  <c r="E38" i="8"/>
  <c r="I38" i="8" s="1"/>
  <c r="B42" i="8"/>
  <c r="A43" i="8"/>
  <c r="B43" i="8"/>
  <c r="A44" i="8"/>
  <c r="A45" i="8" s="1"/>
  <c r="B44" i="8"/>
  <c r="C46" i="8"/>
  <c r="D46" i="8"/>
  <c r="E46" i="8"/>
  <c r="E47" i="8"/>
  <c r="B3" i="7"/>
  <c r="A4" i="7"/>
  <c r="B4" i="7"/>
  <c r="A5" i="7"/>
  <c r="B5" i="7" s="1"/>
  <c r="B12" i="7"/>
  <c r="D12" i="7" s="1"/>
  <c r="C12" i="7"/>
  <c r="E13" i="7"/>
  <c r="D14" i="7"/>
  <c r="B16" i="7"/>
  <c r="C16" i="7" s="1"/>
  <c r="C24" i="7" s="1"/>
  <c r="A17" i="7"/>
  <c r="A18" i="7" s="1"/>
  <c r="B22" i="7"/>
  <c r="D22" i="7" s="1"/>
  <c r="C22" i="7"/>
  <c r="B24" i="7"/>
  <c r="A25" i="7"/>
  <c r="A26" i="7" s="1"/>
  <c r="B33" i="7"/>
  <c r="C33" i="7"/>
  <c r="C42" i="7" s="1"/>
  <c r="D33" i="7"/>
  <c r="E33" i="7"/>
  <c r="A34" i="7"/>
  <c r="A35" i="7" s="1"/>
  <c r="B34" i="7"/>
  <c r="C34" i="7"/>
  <c r="C43" i="7" s="1"/>
  <c r="D34" i="7"/>
  <c r="D43" i="7" s="1"/>
  <c r="E34" i="7"/>
  <c r="E43" i="7" s="1"/>
  <c r="C35" i="7"/>
  <c r="C44" i="7" s="1"/>
  <c r="D35" i="7"/>
  <c r="D44" i="7" s="1"/>
  <c r="E35" i="7"/>
  <c r="C36" i="7"/>
  <c r="C45" i="7" s="1"/>
  <c r="D36" i="7"/>
  <c r="D45" i="7" s="1"/>
  <c r="E36" i="7"/>
  <c r="C37" i="7"/>
  <c r="C46" i="7" s="1"/>
  <c r="D37" i="7"/>
  <c r="D46" i="7" s="1"/>
  <c r="E37" i="7"/>
  <c r="E46" i="7" s="1"/>
  <c r="C38" i="7"/>
  <c r="C47" i="7" s="1"/>
  <c r="D38" i="7"/>
  <c r="D47" i="7" s="1"/>
  <c r="E38" i="7"/>
  <c r="B42" i="7"/>
  <c r="D42" i="7"/>
  <c r="E42" i="7"/>
  <c r="A43" i="7"/>
  <c r="B43" i="7" s="1"/>
  <c r="E44" i="7"/>
  <c r="E45" i="7"/>
  <c r="E47" i="7"/>
  <c r="D14" i="1"/>
  <c r="E13" i="1"/>
  <c r="B22" i="1"/>
  <c r="C22" i="1" s="1"/>
  <c r="C9" i="1" s="1"/>
  <c r="B9" i="1"/>
  <c r="A43" i="1"/>
  <c r="B43" i="1" s="1"/>
  <c r="A44" i="1"/>
  <c r="A45" i="1" s="1"/>
  <c r="B45" i="1" s="1"/>
  <c r="B42" i="1"/>
  <c r="A34" i="1"/>
  <c r="B34" i="1" s="1"/>
  <c r="B33" i="1"/>
  <c r="C38" i="1"/>
  <c r="C47" i="1" s="1"/>
  <c r="E38" i="1"/>
  <c r="E47" i="1" s="1"/>
  <c r="D38" i="1"/>
  <c r="D47" i="1" s="1"/>
  <c r="E37" i="1"/>
  <c r="E46" i="1" s="1"/>
  <c r="D37" i="1"/>
  <c r="D46" i="1" s="1"/>
  <c r="C37" i="1"/>
  <c r="C46" i="1" s="1"/>
  <c r="E36" i="1"/>
  <c r="E45" i="1" s="1"/>
  <c r="D36" i="1"/>
  <c r="D45" i="1" s="1"/>
  <c r="C36" i="1"/>
  <c r="C45" i="1" s="1"/>
  <c r="E35" i="1"/>
  <c r="E44" i="1" s="1"/>
  <c r="D35" i="1"/>
  <c r="D44" i="1" s="1"/>
  <c r="C35" i="1"/>
  <c r="C44" i="1" s="1"/>
  <c r="E34" i="1"/>
  <c r="E43" i="1" s="1"/>
  <c r="D34" i="1"/>
  <c r="D43" i="1" s="1"/>
  <c r="C34" i="1"/>
  <c r="C43" i="1" s="1"/>
  <c r="E33" i="1"/>
  <c r="E42" i="1" s="1"/>
  <c r="D33" i="1"/>
  <c r="D42" i="1" s="1"/>
  <c r="C33" i="1"/>
  <c r="C42" i="1" s="1"/>
  <c r="B12" i="1"/>
  <c r="D12" i="1" s="1"/>
  <c r="B16" i="1"/>
  <c r="E16" i="1" s="1"/>
  <c r="E24" i="1" s="1"/>
  <c r="A17" i="1"/>
  <c r="B17" i="1" s="1"/>
  <c r="A18" i="1"/>
  <c r="A19" i="1" s="1"/>
  <c r="A25" i="1"/>
  <c r="B25" i="1" s="1"/>
  <c r="A26" i="1"/>
  <c r="A27" i="1" s="1"/>
  <c r="B24" i="1"/>
  <c r="A4" i="1"/>
  <c r="A5" i="1" s="1"/>
  <c r="B3" i="1"/>
  <c r="C12" i="1" l="1"/>
  <c r="E12" i="1"/>
  <c r="B18" i="10"/>
  <c r="A19" i="10"/>
  <c r="B19" i="10" s="1"/>
  <c r="A20" i="1"/>
  <c r="B19" i="1"/>
  <c r="A36" i="7"/>
  <c r="B36" i="7" s="1"/>
  <c r="B35" i="7"/>
  <c r="C17" i="1"/>
  <c r="C25" i="1" s="1"/>
  <c r="E17" i="1"/>
  <c r="E25" i="1" s="1"/>
  <c r="D47" i="8"/>
  <c r="C16" i="1"/>
  <c r="C24" i="1" s="1"/>
  <c r="A35" i="1"/>
  <c r="A36" i="1" s="1"/>
  <c r="E12" i="7"/>
  <c r="D43" i="8"/>
  <c r="A35" i="8"/>
  <c r="B35" i="8" s="1"/>
  <c r="D12" i="8"/>
  <c r="B43" i="10"/>
  <c r="B17" i="10"/>
  <c r="H36" i="8"/>
  <c r="B18" i="1"/>
  <c r="C18" i="1" s="1"/>
  <c r="C26" i="1" s="1"/>
  <c r="A6" i="7"/>
  <c r="C43" i="8"/>
  <c r="B17" i="8"/>
  <c r="B26" i="10"/>
  <c r="E16" i="7"/>
  <c r="E24" i="7" s="1"/>
  <c r="I3" i="15"/>
  <c r="J3" i="15" s="1"/>
  <c r="F9" i="15"/>
  <c r="G9" i="15" s="1"/>
  <c r="E14" i="7"/>
  <c r="D16" i="7"/>
  <c r="D24" i="7" s="1"/>
  <c r="I4" i="15"/>
  <c r="J4" i="15" s="1"/>
  <c r="E14" i="1"/>
  <c r="E44" i="8"/>
  <c r="B44" i="1"/>
  <c r="D44" i="8"/>
  <c r="I6" i="15"/>
  <c r="J6" i="15" s="1"/>
  <c r="F12" i="15"/>
  <c r="G12" i="15" s="1"/>
  <c r="C44" i="8"/>
  <c r="A5" i="8"/>
  <c r="B34" i="10"/>
  <c r="I13" i="15"/>
  <c r="J13" i="15" s="1"/>
  <c r="B18" i="8"/>
  <c r="A19" i="8"/>
  <c r="B27" i="10"/>
  <c r="A28" i="10"/>
  <c r="B45" i="8"/>
  <c r="A46" i="8"/>
  <c r="A37" i="1"/>
  <c r="B36" i="1"/>
  <c r="C19" i="10"/>
  <c r="C27" i="10" s="1"/>
  <c r="D19" i="10"/>
  <c r="D27" i="10" s="1"/>
  <c r="E19" i="10"/>
  <c r="E27" i="10" s="1"/>
  <c r="B18" i="7"/>
  <c r="A19" i="7"/>
  <c r="B26" i="8"/>
  <c r="A27" i="8"/>
  <c r="B44" i="10"/>
  <c r="A45" i="10"/>
  <c r="B26" i="7"/>
  <c r="A27" i="7"/>
  <c r="A6" i="1"/>
  <c r="B5" i="1"/>
  <c r="A28" i="1"/>
  <c r="B27" i="1"/>
  <c r="B35" i="10"/>
  <c r="A36" i="10"/>
  <c r="I11" i="15"/>
  <c r="J11" i="15" s="1"/>
  <c r="B26" i="1"/>
  <c r="D16" i="1"/>
  <c r="D24" i="1" s="1"/>
  <c r="B35" i="1"/>
  <c r="A46" i="1"/>
  <c r="B25" i="7"/>
  <c r="B17" i="7"/>
  <c r="F5" i="15"/>
  <c r="G5" i="15" s="1"/>
  <c r="E42" i="8"/>
  <c r="D18" i="1"/>
  <c r="D26" i="1" s="1"/>
  <c r="A44" i="7"/>
  <c r="G38" i="8"/>
  <c r="D17" i="1"/>
  <c r="D25" i="1" s="1"/>
  <c r="C42" i="8"/>
  <c r="D16" i="10"/>
  <c r="D24" i="10" s="1"/>
  <c r="C45" i="8"/>
  <c r="A5" i="10"/>
  <c r="H33" i="8"/>
  <c r="I36" i="8"/>
  <c r="B4" i="1"/>
  <c r="A37" i="7"/>
  <c r="F7" i="15"/>
  <c r="G7" i="15" s="1"/>
  <c r="A20" i="10"/>
  <c r="F8" i="15"/>
  <c r="G8" i="15" s="1"/>
  <c r="E18" i="1"/>
  <c r="E26" i="1" s="1"/>
  <c r="D22" i="1"/>
  <c r="D9" i="1" s="1"/>
  <c r="I34" i="8"/>
  <c r="E16" i="8"/>
  <c r="E24" i="8" s="1"/>
  <c r="D16" i="8"/>
  <c r="D24" i="8" s="1"/>
  <c r="D17" i="8" l="1"/>
  <c r="D25" i="8" s="1"/>
  <c r="C17" i="8"/>
  <c r="C25" i="8" s="1"/>
  <c r="B5" i="8"/>
  <c r="A6" i="8"/>
  <c r="D19" i="1"/>
  <c r="D27" i="1" s="1"/>
  <c r="C19" i="1"/>
  <c r="C27" i="1" s="1"/>
  <c r="E19" i="1"/>
  <c r="E27" i="1" s="1"/>
  <c r="A36" i="8"/>
  <c r="B36" i="8" s="1"/>
  <c r="A21" i="1"/>
  <c r="B21" i="1" s="1"/>
  <c r="B20" i="1"/>
  <c r="A7" i="7"/>
  <c r="B6" i="7"/>
  <c r="E17" i="8"/>
  <c r="E25" i="8" s="1"/>
  <c r="E17" i="10"/>
  <c r="E25" i="10" s="1"/>
  <c r="D17" i="10"/>
  <c r="D25" i="10" s="1"/>
  <c r="C17" i="10"/>
  <c r="C25" i="10" s="1"/>
  <c r="D18" i="10"/>
  <c r="D26" i="10" s="1"/>
  <c r="C18" i="10"/>
  <c r="C26" i="10" s="1"/>
  <c r="E18" i="10"/>
  <c r="E26" i="10" s="1"/>
  <c r="B37" i="7"/>
  <c r="A38" i="7"/>
  <c r="B38" i="7" s="1"/>
  <c r="B5" i="10"/>
  <c r="A6" i="10"/>
  <c r="A46" i="10"/>
  <c r="B45" i="10"/>
  <c r="A28" i="8"/>
  <c r="B27" i="8"/>
  <c r="B44" i="7"/>
  <c r="A45" i="7"/>
  <c r="C18" i="8"/>
  <c r="C26" i="8" s="1"/>
  <c r="D18" i="8"/>
  <c r="D26" i="8" s="1"/>
  <c r="E18" i="8"/>
  <c r="E26" i="8" s="1"/>
  <c r="B19" i="7"/>
  <c r="A20" i="7"/>
  <c r="A37" i="10"/>
  <c r="B36" i="10"/>
  <c r="A29" i="1"/>
  <c r="B29" i="1" s="1"/>
  <c r="B28" i="1"/>
  <c r="A38" i="1"/>
  <c r="B38" i="1" s="1"/>
  <c r="B37" i="1"/>
  <c r="A21" i="10"/>
  <c r="B21" i="10" s="1"/>
  <c r="B20" i="10"/>
  <c r="E18" i="7"/>
  <c r="E26" i="7" s="1"/>
  <c r="C18" i="7"/>
  <c r="C26" i="7" s="1"/>
  <c r="D18" i="7"/>
  <c r="D26" i="7" s="1"/>
  <c r="A37" i="8"/>
  <c r="B28" i="10"/>
  <c r="A29" i="10"/>
  <c r="B29" i="10" s="1"/>
  <c r="A47" i="8"/>
  <c r="B47" i="8" s="1"/>
  <c r="B46" i="8"/>
  <c r="C17" i="7"/>
  <c r="C25" i="7" s="1"/>
  <c r="D17" i="7"/>
  <c r="D25" i="7" s="1"/>
  <c r="E17" i="7"/>
  <c r="E25" i="7" s="1"/>
  <c r="B46" i="1"/>
  <c r="A47" i="1"/>
  <c r="B47" i="1" s="1"/>
  <c r="A7" i="1"/>
  <c r="B6" i="1"/>
  <c r="B27" i="7"/>
  <c r="A28" i="7"/>
  <c r="A20" i="8"/>
  <c r="B19" i="8"/>
  <c r="B6" i="8" l="1"/>
  <c r="A7" i="8"/>
  <c r="A8" i="7"/>
  <c r="B8" i="7" s="1"/>
  <c r="B7" i="7"/>
  <c r="D20" i="1"/>
  <c r="D28" i="1" s="1"/>
  <c r="C20" i="1"/>
  <c r="C28" i="1" s="1"/>
  <c r="E20" i="1"/>
  <c r="E28" i="1" s="1"/>
  <c r="D21" i="1"/>
  <c r="D29" i="1" s="1"/>
  <c r="C21" i="1"/>
  <c r="C29" i="1" s="1"/>
  <c r="E21" i="1"/>
  <c r="E29" i="1" s="1"/>
  <c r="E19" i="7"/>
  <c r="E27" i="7" s="1"/>
  <c r="C19" i="7"/>
  <c r="C27" i="7" s="1"/>
  <c r="D19" i="7"/>
  <c r="D27" i="7" s="1"/>
  <c r="A21" i="7"/>
  <c r="B21" i="7" s="1"/>
  <c r="B20" i="7"/>
  <c r="E20" i="10"/>
  <c r="E28" i="10" s="1"/>
  <c r="C20" i="10"/>
  <c r="C28" i="10" s="1"/>
  <c r="D20" i="10"/>
  <c r="D28" i="10" s="1"/>
  <c r="D19" i="8"/>
  <c r="D27" i="8" s="1"/>
  <c r="E19" i="8"/>
  <c r="E27" i="8" s="1"/>
  <c r="C19" i="8"/>
  <c r="C27" i="8" s="1"/>
  <c r="B45" i="7"/>
  <c r="A46" i="7"/>
  <c r="B7" i="1"/>
  <c r="A8" i="1"/>
  <c r="B8" i="1" s="1"/>
  <c r="C21" i="10"/>
  <c r="C29" i="10" s="1"/>
  <c r="D21" i="10"/>
  <c r="D29" i="10" s="1"/>
  <c r="E21" i="10"/>
  <c r="E29" i="10" s="1"/>
  <c r="B6" i="10"/>
  <c r="A7" i="10"/>
  <c r="B37" i="8"/>
  <c r="A38" i="8"/>
  <c r="B38" i="8" s="1"/>
  <c r="B20" i="8"/>
  <c r="A21" i="8"/>
  <c r="B21" i="8" s="1"/>
  <c r="A29" i="7"/>
  <c r="B29" i="7" s="1"/>
  <c r="B28" i="7"/>
  <c r="B28" i="8"/>
  <c r="A29" i="8"/>
  <c r="B29" i="8" s="1"/>
  <c r="B46" i="10"/>
  <c r="A47" i="10"/>
  <c r="B47" i="10" s="1"/>
  <c r="B37" i="10"/>
  <c r="A38" i="10"/>
  <c r="B38" i="10" s="1"/>
  <c r="A8" i="8" l="1"/>
  <c r="B8" i="8" s="1"/>
  <c r="B7" i="8"/>
  <c r="C21" i="7"/>
  <c r="C29" i="7" s="1"/>
  <c r="D21" i="7"/>
  <c r="D29" i="7" s="1"/>
  <c r="E21" i="7"/>
  <c r="E29" i="7" s="1"/>
  <c r="D21" i="8"/>
  <c r="D29" i="8" s="1"/>
  <c r="C21" i="8"/>
  <c r="C29" i="8" s="1"/>
  <c r="E21" i="8"/>
  <c r="E29" i="8" s="1"/>
  <c r="C20" i="8"/>
  <c r="C28" i="8" s="1"/>
  <c r="E20" i="8"/>
  <c r="E28" i="8" s="1"/>
  <c r="D20" i="8"/>
  <c r="D28" i="8" s="1"/>
  <c r="A8" i="10"/>
  <c r="B8" i="10" s="1"/>
  <c r="B7" i="10"/>
  <c r="A47" i="7"/>
  <c r="B47" i="7" s="1"/>
  <c r="B46" i="7"/>
  <c r="D20" i="7"/>
  <c r="D28" i="7" s="1"/>
  <c r="C20" i="7"/>
  <c r="C28" i="7" s="1"/>
  <c r="E20" i="7"/>
  <c r="E28" i="7" s="1"/>
</calcChain>
</file>

<file path=xl/sharedStrings.xml><?xml version="1.0" encoding="utf-8"?>
<sst xmlns="http://schemas.openxmlformats.org/spreadsheetml/2006/main" count="68" uniqueCount="20">
  <si>
    <t>TIME</t>
  </si>
  <si>
    <t>[h]</t>
  </si>
  <si>
    <t>TEMPERATURE [°C]</t>
  </si>
  <si>
    <t>TIME input</t>
  </si>
  <si>
    <t>COMPLIANCE (OUTPUT)</t>
  </si>
  <si>
    <t>E [Pa]</t>
  </si>
  <si>
    <t>E [MPa]</t>
  </si>
  <si>
    <t>.</t>
  </si>
  <si>
    <t>23°C</t>
  </si>
  <si>
    <t>40°C</t>
  </si>
  <si>
    <t>60°C</t>
  </si>
  <si>
    <t>y = 4,016E-10e4,980E-01x</t>
  </si>
  <si>
    <t>x [h]</t>
  </si>
  <si>
    <t>J</t>
  </si>
  <si>
    <t>1/Pa</t>
  </si>
  <si>
    <t>log time</t>
  </si>
  <si>
    <t>y = 6E-10e0,6354x</t>
  </si>
  <si>
    <t>Pa</t>
  </si>
  <si>
    <t>J(t)</t>
  </si>
  <si>
    <t>E(t)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</si>
</sst>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E+00"/>
    <numFmt numFmtId="165" formatCode="0.0E+00"/>
    <numFmt numFmtId="166" formatCode="0.000E+00"/>
  </numFmts>
  <fonts count="5" x14ac:knownFonts="1">
    <font>
      <sz val="10"/>
      <name val="Arial"/>
    </font>
    <font>
      <sz val="8"/>
      <name val="Arial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indexed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0" fontId="2" fillId="2" borderId="1" xfId="0" applyFont="1" applyFill="1" applyBorder="1" applyAlignment="1">
      <alignment horizontal="center"/>
    </xf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4" fontId="0" fillId="0" borderId="0" xfId="0" applyNumberFormat="1"/>
    <xf numFmtId="166" fontId="2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0" fillId="0" borderId="0" xfId="0" quotePrefix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worksheet" Target="worksheets/sheet5.xml"/><Relationship Id="rId1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8.xml"/><Relationship Id="rId17" Type="http://schemas.openxmlformats.org/officeDocument/2006/relationships/styles" Target="styles.xml"/><Relationship Id="rId2" Type="http://schemas.openxmlformats.org/officeDocument/2006/relationships/worksheet" Target="worksheets/sheet1.xml"/><Relationship Id="rId16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chartsheet" Target="chartsheets/sheet7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6.xml"/><Relationship Id="rId10" Type="http://schemas.openxmlformats.org/officeDocument/2006/relationships/worksheet" Target="worksheets/sheet4.xml"/><Relationship Id="rId19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chartsheet" Target="chart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1918941273779982E-2"/>
          <c:y val="4.2711864406779668E-2"/>
          <c:w val="0.94334160463192718"/>
          <c:h val="0.8664406779661018"/>
        </c:manualLayout>
      </c:layout>
      <c:scatterChart>
        <c:scatterStyle val="lineMarker"/>
        <c:varyColors val="0"/>
        <c:ser>
          <c:idx val="0"/>
          <c:order val="0"/>
          <c:tx>
            <c:v>J(t),T=23°C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exp"/>
            <c:dispRSqr val="1"/>
            <c:dispEq val="1"/>
            <c:trendlineLbl>
              <c:layout>
                <c:manualLayout>
                  <c:x val="0.13224497768177002"/>
                  <c:y val="9.9237683197518356E-2"/>
                </c:manualLayout>
              </c:layout>
              <c:numFmt formatCode="General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J(t,T)'!$C$3:$C$8</c:f>
              <c:numCache>
                <c:formatCode>0.00E+00</c:formatCode>
                <c:ptCount val="6"/>
                <c:pt idx="0">
                  <c:v>2.5000000000000002E-10</c:v>
                </c:pt>
                <c:pt idx="1">
                  <c:v>2.5999999999999998E-10</c:v>
                </c:pt>
                <c:pt idx="2">
                  <c:v>2.7E-10</c:v>
                </c:pt>
                <c:pt idx="3">
                  <c:v>3E-10</c:v>
                </c:pt>
                <c:pt idx="4">
                  <c:v>4.0000000000000001E-10</c:v>
                </c:pt>
                <c:pt idx="5">
                  <c:v>6.5000000000000003E-10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2-40FB-B5CB-B8C789C84124}"/>
            </c:ext>
          </c:extLst>
        </c:ser>
        <c:ser>
          <c:idx val="1"/>
          <c:order val="1"/>
          <c:tx>
            <c:v>J(t),T=40°C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exp"/>
            <c:dispRSqr val="1"/>
            <c:dispEq val="1"/>
            <c:trendlineLbl>
              <c:layout>
                <c:manualLayout>
                  <c:x val="0.13224497768177002"/>
                  <c:y val="-0.20183377786099521"/>
                </c:manualLayout>
              </c:layout>
              <c:numFmt formatCode="General" sourceLinked="0"/>
              <c:spPr>
                <a:solidFill>
                  <a:srgbClr val="00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99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J(t,T)'!$D$3:$D$8</c:f>
              <c:numCache>
                <c:formatCode>0.00E+00</c:formatCode>
                <c:ptCount val="6"/>
                <c:pt idx="0">
                  <c:v>3E-10</c:v>
                </c:pt>
                <c:pt idx="1">
                  <c:v>3.6E-10</c:v>
                </c:pt>
                <c:pt idx="2">
                  <c:v>4.5E-10</c:v>
                </c:pt>
                <c:pt idx="3">
                  <c:v>6.3E-10</c:v>
                </c:pt>
                <c:pt idx="4">
                  <c:v>9.6999999999999996E-10</c:v>
                </c:pt>
                <c:pt idx="5">
                  <c:v>1.6000000000000001E-9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E2-40FB-B5CB-B8C789C84124}"/>
            </c:ext>
          </c:extLst>
        </c:ser>
        <c:ser>
          <c:idx val="2"/>
          <c:order val="2"/>
          <c:tx>
            <c:v>J(t),T=60°C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exp"/>
            <c:dispRSqr val="1"/>
            <c:dispEq val="1"/>
            <c:trendlineLbl>
              <c:layout>
                <c:manualLayout>
                  <c:x val="-0.183595876647213"/>
                  <c:y val="-0.17207644668568398"/>
                </c:manualLayout>
              </c:layout>
              <c:numFmt formatCode="General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J(t,T)'!$E$3:$E$8</c:f>
              <c:numCache>
                <c:formatCode>0.00E+00</c:formatCode>
                <c:ptCount val="6"/>
                <c:pt idx="0">
                  <c:v>4.6000000000000001E-10</c:v>
                </c:pt>
                <c:pt idx="1">
                  <c:v>6.3999999999999996E-10</c:v>
                </c:pt>
                <c:pt idx="2">
                  <c:v>9.7999999999999992E-10</c:v>
                </c:pt>
                <c:pt idx="3">
                  <c:v>1.6000000000000001E-9</c:v>
                </c:pt>
                <c:pt idx="4">
                  <c:v>2.8999999999999999E-9</c:v>
                </c:pt>
                <c:pt idx="5">
                  <c:v>5.4999999999999996E-9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E2-40FB-B5CB-B8C789C84124}"/>
            </c:ext>
          </c:extLst>
        </c:ser>
        <c:ser>
          <c:idx val="3"/>
          <c:order val="3"/>
          <c:tx>
            <c:v>J(t),T=Tref</c:v>
          </c:tx>
          <c:spPr>
            <a:ln w="38100">
              <a:solidFill>
                <a:srgbClr val="00FF00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exp"/>
            <c:dispRSqr val="1"/>
            <c:dispEq val="1"/>
            <c:trendlineLbl>
              <c:layout>
                <c:manualLayout>
                  <c:x val="-0.1644076586923634"/>
                  <c:y val="0.12848774822127068"/>
                </c:manualLayout>
              </c:layout>
              <c:numFmt formatCode="General" sourceLinked="0"/>
              <c:spPr>
                <a:solidFill>
                  <a:srgbClr val="00FF0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Sheet1!$E$3:$E$12</c:f>
              <c:numCache>
                <c:formatCode>General</c:formatCode>
                <c:ptCount val="10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</c:numCache>
            </c:numRef>
          </c:xVal>
          <c:yVal>
            <c:numRef>
              <c:f>Sheet1!$F$3:$F$12</c:f>
              <c:numCache>
                <c:formatCode>0.00E+00</c:formatCode>
                <c:ptCount val="10"/>
                <c:pt idx="0">
                  <c:v>5.0318652492941727E-11</c:v>
                </c:pt>
                <c:pt idx="1">
                  <c:v>8.2794847672413807E-11</c:v>
                </c:pt>
                <c:pt idx="2">
                  <c:v>1.3623152571622948E-10</c:v>
                </c:pt>
                <c:pt idx="3">
                  <c:v>2.2415680589693661E-10</c:v>
                </c:pt>
                <c:pt idx="4">
                  <c:v>3.6883000000000001E-10</c:v>
                </c:pt>
                <c:pt idx="5">
                  <c:v>6.0687681712660903E-10</c:v>
                </c:pt>
                <c:pt idx="6">
                  <c:v>9.9856158979942955E-10</c:v>
                </c:pt>
                <c:pt idx="7">
                  <c:v>1.6430438937243837E-9</c:v>
                </c:pt>
                <c:pt idx="8">
                  <c:v>2.7034819527228383E-9</c:v>
                </c:pt>
                <c:pt idx="9">
                  <c:v>4.448338049040658E-9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E2-40FB-B5CB-B8C789C84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655240"/>
        <c:axId val="1"/>
      </c:scatterChart>
      <c:valAx>
        <c:axId val="40465524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404655240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7601323407775026E-2"/>
          <c:y val="0.19593220338983047"/>
          <c:w val="0.23035566583953682"/>
          <c:h val="0.40949152542372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a-DK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6253101736973"/>
          <c:y val="4.2711864406779668E-2"/>
          <c:w val="0.85690653432588904"/>
          <c:h val="0.8677966101694915"/>
        </c:manualLayout>
      </c:layout>
      <c:scatterChart>
        <c:scatterStyle val="lineMarker"/>
        <c:varyColors val="0"/>
        <c:ser>
          <c:idx val="0"/>
          <c:order val="0"/>
          <c:tx>
            <c:v>J(t),T=23°C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exp"/>
            <c:dispRSqr val="1"/>
            <c:dispEq val="1"/>
            <c:trendlineLbl>
              <c:layout>
                <c:manualLayout>
                  <c:x val="0.15373452431373935"/>
                  <c:y val="0.10004106154846293"/>
                </c:manualLayout>
              </c:layout>
              <c:numFmt formatCode="General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J(t,T)'!$C$3:$C$8</c:f>
              <c:numCache>
                <c:formatCode>0.00E+00</c:formatCode>
                <c:ptCount val="6"/>
                <c:pt idx="0">
                  <c:v>2.5000000000000002E-10</c:v>
                </c:pt>
                <c:pt idx="1">
                  <c:v>2.5999999999999998E-10</c:v>
                </c:pt>
                <c:pt idx="2">
                  <c:v>2.7E-10</c:v>
                </c:pt>
                <c:pt idx="3">
                  <c:v>3E-10</c:v>
                </c:pt>
                <c:pt idx="4">
                  <c:v>4.0000000000000001E-10</c:v>
                </c:pt>
                <c:pt idx="5">
                  <c:v>6.5000000000000003E-10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5C-47B1-A680-F072213C072C}"/>
            </c:ext>
          </c:extLst>
        </c:ser>
        <c:ser>
          <c:idx val="1"/>
          <c:order val="1"/>
          <c:tx>
            <c:v>J(t),T=40°C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exp"/>
            <c:dispRSqr val="1"/>
            <c:dispEq val="1"/>
            <c:trendlineLbl>
              <c:layout>
                <c:manualLayout>
                  <c:x val="0.14877174515741198"/>
                  <c:y val="-0.20286795604612773"/>
                </c:manualLayout>
              </c:layout>
              <c:numFmt formatCode="General" sourceLinked="0"/>
              <c:spPr>
                <a:solidFill>
                  <a:srgbClr val="00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99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J(t,T)'!$D$3:$D$8</c:f>
              <c:numCache>
                <c:formatCode>0.00E+00</c:formatCode>
                <c:ptCount val="6"/>
                <c:pt idx="0">
                  <c:v>3E-10</c:v>
                </c:pt>
                <c:pt idx="1">
                  <c:v>3.6E-10</c:v>
                </c:pt>
                <c:pt idx="2">
                  <c:v>4.5E-10</c:v>
                </c:pt>
                <c:pt idx="3">
                  <c:v>6.3E-10</c:v>
                </c:pt>
                <c:pt idx="4">
                  <c:v>9.6999999999999996E-10</c:v>
                </c:pt>
                <c:pt idx="5">
                  <c:v>1.6000000000000001E-9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5C-47B1-A680-F072213C072C}"/>
            </c:ext>
          </c:extLst>
        </c:ser>
        <c:ser>
          <c:idx val="2"/>
          <c:order val="2"/>
          <c:tx>
            <c:v>J(t),T=60°C</c:v>
          </c:tx>
          <c:spPr>
            <a:ln w="1905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exp"/>
            <c:dispRSqr val="1"/>
            <c:dispEq val="1"/>
            <c:trendlineLbl>
              <c:layout>
                <c:manualLayout>
                  <c:x val="-9.3868045005845668E-2"/>
                  <c:y val="-6.3854044511023306E-2"/>
                </c:manualLayout>
              </c:layout>
              <c:numFmt formatCode="General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FF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J(t,T)'!$E$3:$E$8</c:f>
              <c:numCache>
                <c:formatCode>0.00E+00</c:formatCode>
                <c:ptCount val="6"/>
                <c:pt idx="0">
                  <c:v>4.6000000000000001E-10</c:v>
                </c:pt>
                <c:pt idx="1">
                  <c:v>6.3999999999999996E-10</c:v>
                </c:pt>
                <c:pt idx="2">
                  <c:v>9.7999999999999992E-10</c:v>
                </c:pt>
                <c:pt idx="3">
                  <c:v>1.6000000000000001E-9</c:v>
                </c:pt>
                <c:pt idx="4">
                  <c:v>2.8999999999999999E-9</c:v>
                </c:pt>
                <c:pt idx="5">
                  <c:v>5.4999999999999996E-9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5C-47B1-A680-F072213C0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61760"/>
        <c:axId val="1"/>
      </c:scatterChart>
      <c:valAx>
        <c:axId val="40436176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404361760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535153019023986"/>
          <c:y val="0.22169491525423732"/>
          <c:w val="0.22084367245657571"/>
          <c:h val="0.269152542372881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a-DK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COMPLIANCE J(t,T) of a TYPICAL AMORPHOUS POLYMER as FUNCTION of TIME (t) and TEMPERATURE (T)</a:t>
            </a:r>
          </a:p>
        </c:rich>
      </c:tx>
      <c:layout>
        <c:manualLayout>
          <c:xMode val="edge"/>
          <c:yMode val="edge"/>
          <c:x val="0.11607786589762076"/>
          <c:y val="1.99590583418628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220620043258831"/>
          <c:y val="0.21903787103377687"/>
          <c:w val="0.84823359769286233"/>
          <c:h val="0.6770726714431935"/>
        </c:manualLayout>
      </c:layout>
      <c:scatterChart>
        <c:scatterStyle val="lineMarker"/>
        <c:varyColors val="0"/>
        <c:ser>
          <c:idx val="0"/>
          <c:order val="0"/>
          <c:tx>
            <c:v>J(t),T=23°C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8776140275183704"/>
                  <c:y val="-0.37723345610457854"/>
                </c:manualLayout>
              </c:layout>
              <c:numFmt formatCode="0.00E+00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1" i="0" u="none" strike="noStrike" baseline="0">
                      <a:solidFill>
                        <a:srgbClr val="0000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J(t,T)'!$C$3:$C$8</c:f>
              <c:numCache>
                <c:formatCode>0.00E+00</c:formatCode>
                <c:ptCount val="6"/>
                <c:pt idx="0">
                  <c:v>2.5000000000000002E-10</c:v>
                </c:pt>
                <c:pt idx="1">
                  <c:v>2.5999999999999998E-10</c:v>
                </c:pt>
                <c:pt idx="2">
                  <c:v>2.7E-10</c:v>
                </c:pt>
                <c:pt idx="3">
                  <c:v>3E-10</c:v>
                </c:pt>
                <c:pt idx="4">
                  <c:v>4.0000000000000001E-10</c:v>
                </c:pt>
                <c:pt idx="5">
                  <c:v>6.5000000000000003E-10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33-4F1C-866A-0B4D95213D9E}"/>
            </c:ext>
          </c:extLst>
        </c:ser>
        <c:ser>
          <c:idx val="1"/>
          <c:order val="1"/>
          <c:tx>
            <c:v>J(t),T=40°C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8776140275183704"/>
                  <c:y val="-0.20253924247186617"/>
                </c:manualLayout>
              </c:layout>
              <c:numFmt formatCode="0.00E+00" sourceLinked="0"/>
              <c:spPr>
                <a:solidFill>
                  <a:srgbClr val="969696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1" i="0" u="none" strike="noStrike" baseline="0">
                      <a:solidFill>
                        <a:srgbClr val="FF99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J(t,T)'!$D$3:$D$8</c:f>
              <c:numCache>
                <c:formatCode>0.00E+00</c:formatCode>
                <c:ptCount val="6"/>
                <c:pt idx="0">
                  <c:v>3E-10</c:v>
                </c:pt>
                <c:pt idx="1">
                  <c:v>3.6E-10</c:v>
                </c:pt>
                <c:pt idx="2">
                  <c:v>4.5E-10</c:v>
                </c:pt>
                <c:pt idx="3">
                  <c:v>6.3E-10</c:v>
                </c:pt>
                <c:pt idx="4">
                  <c:v>9.6999999999999996E-10</c:v>
                </c:pt>
                <c:pt idx="5">
                  <c:v>1.6000000000000001E-9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33-4F1C-866A-0B4D95213D9E}"/>
            </c:ext>
          </c:extLst>
        </c:ser>
        <c:ser>
          <c:idx val="2"/>
          <c:order val="2"/>
          <c:tx>
            <c:v>J(t),T=60°C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8704042221831139"/>
                  <c:y val="0.30854576519797866"/>
                </c:manualLayout>
              </c:layout>
              <c:numFmt formatCode="0.00E+00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1" i="0" u="none" strike="noStrike" baseline="0">
                      <a:solidFill>
                        <a:srgbClr val="FF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J(t,T)'!$E$3:$E$8</c:f>
              <c:numCache>
                <c:formatCode>0.00E+00</c:formatCode>
                <c:ptCount val="6"/>
                <c:pt idx="0">
                  <c:v>4.6000000000000001E-10</c:v>
                </c:pt>
                <c:pt idx="1">
                  <c:v>6.3999999999999996E-10</c:v>
                </c:pt>
                <c:pt idx="2">
                  <c:v>9.7999999999999992E-10</c:v>
                </c:pt>
                <c:pt idx="3">
                  <c:v>1.6000000000000001E-9</c:v>
                </c:pt>
                <c:pt idx="4">
                  <c:v>2.8999999999999999E-9</c:v>
                </c:pt>
                <c:pt idx="5">
                  <c:v>5.4999999999999996E-9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33-4F1C-866A-0B4D95213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357224"/>
        <c:axId val="1"/>
      </c:scatterChart>
      <c:valAx>
        <c:axId val="405357224"/>
        <c:scaling>
          <c:orientation val="minMax"/>
          <c:max val="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Log10(TIME) [hour]</a:t>
                </a:r>
              </a:p>
            </c:rich>
          </c:tx>
          <c:layout>
            <c:manualLayout>
              <c:xMode val="edge"/>
              <c:yMode val="edge"/>
              <c:x val="0.45602018745493872"/>
              <c:y val="0.9513817809621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COMPLIANCE J [1/Pa]</a:t>
                </a:r>
              </a:p>
            </c:rich>
          </c:tx>
          <c:layout>
            <c:manualLayout>
              <c:xMode val="edge"/>
              <c:yMode val="edge"/>
              <c:x val="3.6049026676279738E-4"/>
              <c:y val="0.41146366427840325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405357224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977649603460706"/>
          <c:y val="0.22466734902763558"/>
          <c:w val="0.17664023071377072"/>
          <c:h val="0.3792221084953940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a-DK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100"/>
      <c:rotY val="20"/>
      <c:depthPercent val="100"/>
      <c:rAngAx val="0"/>
    </c:view3D>
    <c:floor>
      <c:thickness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1297201243891601E-2"/>
          <c:y val="1.2410189418680601E-2"/>
          <c:w val="0.84184806752554431"/>
          <c:h val="0.92488569562377543"/>
        </c:manualLayout>
      </c:layout>
      <c:surface3DChart>
        <c:wireframe val="0"/>
        <c:ser>
          <c:idx val="0"/>
          <c:order val="0"/>
          <c:tx>
            <c:v>J(t),T=23°C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'DATA J(t,T)'!$B$3:$B$8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'DATA J(t,T)'!$C$3:$C$8</c:f>
              <c:numCache>
                <c:formatCode>0.00E+00</c:formatCode>
                <c:ptCount val="6"/>
                <c:pt idx="0">
                  <c:v>2.5000000000000002E-10</c:v>
                </c:pt>
                <c:pt idx="1">
                  <c:v>2.5999999999999998E-10</c:v>
                </c:pt>
                <c:pt idx="2">
                  <c:v>2.7E-10</c:v>
                </c:pt>
                <c:pt idx="3">
                  <c:v>3E-10</c:v>
                </c:pt>
                <c:pt idx="4">
                  <c:v>4.0000000000000001E-10</c:v>
                </c:pt>
                <c:pt idx="5">
                  <c:v>6.5000000000000003E-10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8-4F42-9100-61E6D9756616}"/>
            </c:ext>
          </c:extLst>
        </c:ser>
        <c:ser>
          <c:idx val="1"/>
          <c:order val="1"/>
          <c:tx>
            <c:v>J(t),T=40°C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'DATA J(t,T)'!$B$3:$B$8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'DATA J(t,T)'!$D$3:$D$8</c:f>
              <c:numCache>
                <c:formatCode>0.00E+00</c:formatCode>
                <c:ptCount val="6"/>
                <c:pt idx="0">
                  <c:v>3E-10</c:v>
                </c:pt>
                <c:pt idx="1">
                  <c:v>3.6E-10</c:v>
                </c:pt>
                <c:pt idx="2">
                  <c:v>4.5E-10</c:v>
                </c:pt>
                <c:pt idx="3">
                  <c:v>6.3E-10</c:v>
                </c:pt>
                <c:pt idx="4">
                  <c:v>9.6999999999999996E-10</c:v>
                </c:pt>
                <c:pt idx="5">
                  <c:v>1.6000000000000001E-9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8-4F42-9100-61E6D9756616}"/>
            </c:ext>
          </c:extLst>
        </c:ser>
        <c:ser>
          <c:idx val="2"/>
          <c:order val="2"/>
          <c:tx>
            <c:v>J(t),T=60°C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'DATA J(t,T)'!$B$3:$B$8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'DATA J(t,T)'!$E$3:$E$8</c:f>
              <c:numCache>
                <c:formatCode>0.00E+00</c:formatCode>
                <c:ptCount val="6"/>
                <c:pt idx="0">
                  <c:v>4.6000000000000001E-10</c:v>
                </c:pt>
                <c:pt idx="1">
                  <c:v>6.3999999999999996E-10</c:v>
                </c:pt>
                <c:pt idx="2">
                  <c:v>9.7999999999999992E-10</c:v>
                </c:pt>
                <c:pt idx="3">
                  <c:v>1.6000000000000001E-9</c:v>
                </c:pt>
                <c:pt idx="4">
                  <c:v>2.8999999999999999E-9</c:v>
                </c:pt>
                <c:pt idx="5">
                  <c:v>5.4999999999999996E-9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48-4F42-9100-61E6D9756616}"/>
            </c:ext>
          </c:extLst>
        </c:ser>
        <c:bandFmts>
          <c:bandFmt>
            <c:idx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4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5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330667896"/>
        <c:axId val="1"/>
        <c:axId val="2"/>
      </c:surface3DChart>
      <c:catAx>
        <c:axId val="33066789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330667896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COMPLIANCE J(t,T) of a TYPICAL AMORPHOUS POLYMER as FUNCTION of TIME (t) and TEMPERATURE (T)</a:t>
            </a:r>
          </a:p>
        </c:rich>
      </c:tx>
      <c:layout>
        <c:manualLayout>
          <c:xMode val="edge"/>
          <c:yMode val="edge"/>
          <c:x val="0.11318122165645206"/>
          <c:y val="2.7207114538991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94975318136265"/>
          <c:y val="0.23820106402504904"/>
          <c:w val="0.797391981382082"/>
          <c:h val="0.64242105146149586"/>
        </c:manualLayout>
      </c:layout>
      <c:scatterChart>
        <c:scatterStyle val="lineMarker"/>
        <c:varyColors val="0"/>
        <c:ser>
          <c:idx val="0"/>
          <c:order val="0"/>
          <c:tx>
            <c:v>J(t),T=23°C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3140828032264793"/>
                  <c:y val="-0.37210958313523568"/>
                </c:manualLayout>
              </c:layout>
              <c:numFmt formatCode="0.00E+00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0000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'DATA J(t,T)'!$C$3:$C$9</c:f>
              <c:numCache>
                <c:formatCode>0.00E+00</c:formatCode>
                <c:ptCount val="7"/>
                <c:pt idx="0">
                  <c:v>2.5000000000000002E-10</c:v>
                </c:pt>
                <c:pt idx="1">
                  <c:v>2.5999999999999998E-10</c:v>
                </c:pt>
                <c:pt idx="2">
                  <c:v>2.7E-10</c:v>
                </c:pt>
                <c:pt idx="3">
                  <c:v>3E-10</c:v>
                </c:pt>
                <c:pt idx="4">
                  <c:v>4.0000000000000001E-10</c:v>
                </c:pt>
                <c:pt idx="5">
                  <c:v>6.5000000000000003E-10</c:v>
                </c:pt>
                <c:pt idx="6">
                  <c:v>1.07108E-9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E1-49B4-B88E-92C45BEEFEC3}"/>
            </c:ext>
          </c:extLst>
        </c:ser>
        <c:ser>
          <c:idx val="1"/>
          <c:order val="1"/>
          <c:tx>
            <c:v>J(t),T=40°C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300109812898522"/>
                  <c:y val="-0.15413569429816265"/>
                </c:manualLayout>
              </c:layout>
              <c:numFmt formatCode="0.00E+00" sourceLinked="0"/>
              <c:spPr>
                <a:solidFill>
                  <a:srgbClr val="969696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FF99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'DATA J(t,T)'!$D$3:$D$9</c:f>
              <c:numCache>
                <c:formatCode>0.00E+00</c:formatCode>
                <c:ptCount val="7"/>
                <c:pt idx="0">
                  <c:v>3E-10</c:v>
                </c:pt>
                <c:pt idx="1">
                  <c:v>3.6E-10</c:v>
                </c:pt>
                <c:pt idx="2">
                  <c:v>4.5E-10</c:v>
                </c:pt>
                <c:pt idx="3">
                  <c:v>6.3E-10</c:v>
                </c:pt>
                <c:pt idx="4">
                  <c:v>9.6999999999999996E-10</c:v>
                </c:pt>
                <c:pt idx="5">
                  <c:v>1.6000000000000001E-9</c:v>
                </c:pt>
                <c:pt idx="6">
                  <c:v>2.5677999999999998E-9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E1-49B4-B88E-92C45BEEFEC3}"/>
            </c:ext>
          </c:extLst>
        </c:ser>
        <c:ser>
          <c:idx val="2"/>
          <c:order val="2"/>
          <c:tx>
            <c:v>J(t),T=60°C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9.5249297685808032E-2"/>
                  <c:y val="0.22181674515887678"/>
                </c:manualLayout>
              </c:layout>
              <c:numFmt formatCode="0.00E+00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FF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J(t,T)'!$E$3:$E$8</c:f>
              <c:numCache>
                <c:formatCode>0.00E+00</c:formatCode>
                <c:ptCount val="6"/>
                <c:pt idx="0">
                  <c:v>4.6000000000000001E-10</c:v>
                </c:pt>
                <c:pt idx="1">
                  <c:v>6.3999999999999996E-10</c:v>
                </c:pt>
                <c:pt idx="2">
                  <c:v>9.7999999999999992E-10</c:v>
                </c:pt>
                <c:pt idx="3">
                  <c:v>1.6000000000000001E-9</c:v>
                </c:pt>
                <c:pt idx="4">
                  <c:v>2.8999999999999999E-9</c:v>
                </c:pt>
                <c:pt idx="5">
                  <c:v>5.4999999999999996E-9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E1-49B4-B88E-92C45BEE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363784"/>
        <c:axId val="1"/>
      </c:scatterChart>
      <c:valAx>
        <c:axId val="405363784"/>
        <c:scaling>
          <c:orientation val="minMax"/>
          <c:max val="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Log10(TIME) [hour]</a:t>
                </a:r>
              </a:p>
            </c:rich>
          </c:tx>
          <c:layout>
            <c:manualLayout>
              <c:xMode val="edge"/>
              <c:yMode val="edge"/>
              <c:x val="0.4462041578060949"/>
              <c:y val="0.94058881691942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COMPLIANCE J [1/Pa]</a:t>
                </a:r>
              </a:p>
            </c:rich>
          </c:tx>
          <c:layout>
            <c:manualLayout>
              <c:xMode val="edge"/>
              <c:yMode val="edge"/>
              <c:x val="6.5207288197132876E-3"/>
              <c:y val="0.40088850402350906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405363784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7652544447652399"/>
          <c:y val="0.15991120382101193"/>
          <c:w val="0.20633449050949904"/>
          <c:h val="0.411438201497811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99"/>
    </a:solidFill>
    <a:ln w="38100">
      <a:pattFill prst="pct50">
        <a:fgClr>
          <a:srgbClr val="0000FF"/>
        </a:fgClr>
        <a:bgClr>
          <a:srgbClr val="FFFFFF"/>
        </a:bgClr>
      </a:patt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COMPLIANCE J(t,T) of a TYPICAL AMORPHOUS POLYMER as FUNCTION of TIME (t) and TEMPERATURE (T)</a:t>
            </a:r>
          </a:p>
        </c:rich>
      </c:tx>
      <c:layout>
        <c:manualLayout>
          <c:xMode val="edge"/>
          <c:yMode val="edge"/>
          <c:x val="0.11248966087675764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36476426799009"/>
          <c:y val="0.27254237288135597"/>
          <c:w val="0.81637717121588083"/>
          <c:h val="0.61016949152542377"/>
        </c:manualLayout>
      </c:layout>
      <c:scatterChart>
        <c:scatterStyle val="lineMarker"/>
        <c:varyColors val="0"/>
        <c:ser>
          <c:idx val="0"/>
          <c:order val="0"/>
          <c:tx>
            <c:v>J(t),T=23°C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6699739592883454"/>
                  <c:y val="-0.2595548180737598"/>
                </c:manualLayout>
              </c:layout>
              <c:numFmt formatCode="0.00E+00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0000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 (2)'!$B$3:$B$9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'DATA J(t,T) (2)'!$C$3:$C$9</c:f>
              <c:numCache>
                <c:formatCode>0.00E+00</c:formatCode>
                <c:ptCount val="7"/>
                <c:pt idx="0">
                  <c:v>2.5000000000000002E-10</c:v>
                </c:pt>
                <c:pt idx="1">
                  <c:v>2.5999999999999998E-10</c:v>
                </c:pt>
                <c:pt idx="2">
                  <c:v>2.7E-10</c:v>
                </c:pt>
                <c:pt idx="3">
                  <c:v>3E-10</c:v>
                </c:pt>
                <c:pt idx="4">
                  <c:v>4.0000000000000001E-10</c:v>
                </c:pt>
                <c:pt idx="5">
                  <c:v>6.5000000000000003E-10</c:v>
                </c:pt>
                <c:pt idx="6">
                  <c:v>1.07108E-9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F0-495A-983A-7F7E0CE3FCB7}"/>
            </c:ext>
          </c:extLst>
        </c:ser>
        <c:ser>
          <c:idx val="1"/>
          <c:order val="1"/>
          <c:tx>
            <c:v>J(t),T=40°C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6617026606944649"/>
                  <c:y val="-0.2138111865470238"/>
                </c:manualLayout>
              </c:layout>
              <c:numFmt formatCode="0.00E+00" sourceLinked="0"/>
              <c:spPr>
                <a:solidFill>
                  <a:srgbClr val="969696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FF99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 (2)'!$B$3:$B$9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'DATA J(t,T) (2)'!$D$3:$D$9</c:f>
              <c:numCache>
                <c:formatCode>0.00E+00</c:formatCode>
                <c:ptCount val="7"/>
                <c:pt idx="0">
                  <c:v>3E-10</c:v>
                </c:pt>
                <c:pt idx="1">
                  <c:v>3.6E-10</c:v>
                </c:pt>
                <c:pt idx="2">
                  <c:v>4.5E-10</c:v>
                </c:pt>
                <c:pt idx="3">
                  <c:v>6.3E-10</c:v>
                </c:pt>
                <c:pt idx="4">
                  <c:v>9.6999999999999996E-10</c:v>
                </c:pt>
                <c:pt idx="5">
                  <c:v>1.6000000000000001E-9</c:v>
                </c:pt>
                <c:pt idx="6">
                  <c:v>2.5677999999999998E-9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F0-495A-983A-7F7E0CE3FCB7}"/>
            </c:ext>
          </c:extLst>
        </c:ser>
        <c:ser>
          <c:idx val="2"/>
          <c:order val="2"/>
          <c:tx>
            <c:v>J(t),T=60°C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3176163984960776"/>
                  <c:y val="-1.0939977353634445E-2"/>
                </c:manualLayout>
              </c:layout>
              <c:numFmt formatCode="0.00E+00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FF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 (2)'!$B$3:$B$8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J(t,T) (2)'!$E$3:$E$8</c:f>
              <c:numCache>
                <c:formatCode>0.00E+00</c:formatCode>
                <c:ptCount val="6"/>
                <c:pt idx="0">
                  <c:v>4.6000000000000001E-10</c:v>
                </c:pt>
                <c:pt idx="1">
                  <c:v>6.3999999999999996E-10</c:v>
                </c:pt>
                <c:pt idx="2">
                  <c:v>9.7999999999999992E-10</c:v>
                </c:pt>
                <c:pt idx="3">
                  <c:v>1.6000000000000001E-9</c:v>
                </c:pt>
                <c:pt idx="4">
                  <c:v>2.8999999999999999E-9</c:v>
                </c:pt>
                <c:pt idx="5">
                  <c:v>5.4999999999999996E-9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F0-495A-983A-7F7E0CE3F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553040"/>
        <c:axId val="1"/>
      </c:scatterChart>
      <c:valAx>
        <c:axId val="403553040"/>
        <c:scaling>
          <c:orientation val="minMax"/>
          <c:max val="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Log10(TIME) [hour]</a:t>
                </a:r>
              </a:p>
            </c:rich>
          </c:tx>
          <c:layout>
            <c:manualLayout>
              <c:xMode val="edge"/>
              <c:yMode val="edge"/>
              <c:x val="0.45616211745244001"/>
              <c:y val="0.936949152542372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COMPLIANCE J [1/Pa]</a:t>
                </a:r>
              </a:p>
            </c:rich>
          </c:tx>
          <c:layout>
            <c:manualLayout>
              <c:xMode val="edge"/>
              <c:yMode val="edge"/>
              <c:x val="1.1579818031430935E-2"/>
              <c:y val="0.38440677966101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403553040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839536807278745"/>
          <c:y val="0.25152542372881359"/>
          <c:w val="0.20264681555004135"/>
          <c:h val="0.502372881355932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99"/>
    </a:solidFill>
    <a:ln w="38100">
      <a:pattFill prst="pct50">
        <a:fgClr>
          <a:srgbClr val="0000FF"/>
        </a:fgClr>
        <a:bgClr>
          <a:srgbClr val="FFFFFF"/>
        </a:bgClr>
      </a:patt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COMPLIANCE J(t,T) of a TYPICAL AMORPHOUS POLYMER as FUNCTION of TIME (t) and TEMPERATURE (T)</a:t>
            </a:r>
          </a:p>
        </c:rich>
      </c:tx>
      <c:layout>
        <c:manualLayout>
          <c:xMode val="edge"/>
          <c:yMode val="edge"/>
          <c:x val="0.11248966087675764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36476426799009"/>
          <c:y val="0.27254237288135597"/>
          <c:w val="0.81637717121588083"/>
          <c:h val="0.61016949152542377"/>
        </c:manualLayout>
      </c:layout>
      <c:scatterChart>
        <c:scatterStyle val="lineMarker"/>
        <c:varyColors val="0"/>
        <c:ser>
          <c:idx val="0"/>
          <c:order val="0"/>
          <c:tx>
            <c:v>J(t),T=23°C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8100">
                <a:solidFill>
                  <a:srgbClr val="000080"/>
                </a:solidFill>
                <a:prstDash val="solid"/>
              </a:ln>
            </c:spPr>
            <c:trendlineType val="exp"/>
            <c:dispRSqr val="1"/>
            <c:dispEq val="1"/>
            <c:trendlineLbl>
              <c:layout>
                <c:manualLayout>
                  <c:x val="-6.5431649953890947E-3"/>
                  <c:y val="4.5571269325411334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 (2)'!$B$3:$B$9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'DATA J(t,T) (2)'!$C$3:$C$9</c:f>
              <c:numCache>
                <c:formatCode>0.00E+00</c:formatCode>
                <c:ptCount val="7"/>
                <c:pt idx="0">
                  <c:v>2.5000000000000002E-10</c:v>
                </c:pt>
                <c:pt idx="1">
                  <c:v>2.5999999999999998E-10</c:v>
                </c:pt>
                <c:pt idx="2">
                  <c:v>2.7E-10</c:v>
                </c:pt>
                <c:pt idx="3">
                  <c:v>3E-10</c:v>
                </c:pt>
                <c:pt idx="4">
                  <c:v>4.0000000000000001E-10</c:v>
                </c:pt>
                <c:pt idx="5">
                  <c:v>6.5000000000000003E-10</c:v>
                </c:pt>
                <c:pt idx="6">
                  <c:v>1.07108E-9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C6-424C-928A-3CE7D3FB1BFA}"/>
            </c:ext>
          </c:extLst>
        </c:ser>
        <c:ser>
          <c:idx val="1"/>
          <c:order val="1"/>
          <c:tx>
            <c:v>J(t),T=40°C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spPr>
              <a:ln w="38100">
                <a:solidFill>
                  <a:srgbClr val="FF9900"/>
                </a:solidFill>
                <a:prstDash val="solid"/>
              </a:ln>
            </c:spPr>
            <c:trendlineType val="exp"/>
            <c:dispRSqr val="1"/>
            <c:dispEq val="1"/>
            <c:trendlineLbl>
              <c:layout>
                <c:manualLayout>
                  <c:x val="-1.5154147183967681E-2"/>
                  <c:y val="-3.960637499811881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 (2)'!$B$3:$B$9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'DATA J(t,T) (2)'!$D$3:$D$9</c:f>
              <c:numCache>
                <c:formatCode>0.00E+00</c:formatCode>
                <c:ptCount val="7"/>
                <c:pt idx="0">
                  <c:v>3E-10</c:v>
                </c:pt>
                <c:pt idx="1">
                  <c:v>3.6E-10</c:v>
                </c:pt>
                <c:pt idx="2">
                  <c:v>4.5E-10</c:v>
                </c:pt>
                <c:pt idx="3">
                  <c:v>6.3E-10</c:v>
                </c:pt>
                <c:pt idx="4">
                  <c:v>9.6999999999999996E-10</c:v>
                </c:pt>
                <c:pt idx="5">
                  <c:v>1.6000000000000001E-9</c:v>
                </c:pt>
                <c:pt idx="6">
                  <c:v>2.5677999999999998E-9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C6-424C-928A-3CE7D3FB1BFA}"/>
            </c:ext>
          </c:extLst>
        </c:ser>
        <c:ser>
          <c:idx val="2"/>
          <c:order val="2"/>
          <c:tx>
            <c:v>J(t),T=60°C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38100">
                <a:solidFill>
                  <a:srgbClr val="FF0000"/>
                </a:solidFill>
                <a:prstDash val="solid"/>
              </a:ln>
            </c:spPr>
            <c:trendlineType val="exp"/>
            <c:dispRSqr val="1"/>
            <c:dispEq val="1"/>
            <c:trendlineLbl>
              <c:layout>
                <c:manualLayout>
                  <c:x val="-0.11765473861832509"/>
                  <c:y val="3.294241901877959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J(t,T) (2)'!$B$3:$B$8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J(t,T) (2)'!$E$3:$E$8</c:f>
              <c:numCache>
                <c:formatCode>0.00E+00</c:formatCode>
                <c:ptCount val="6"/>
                <c:pt idx="0">
                  <c:v>4.6000000000000001E-10</c:v>
                </c:pt>
                <c:pt idx="1">
                  <c:v>6.3999999999999996E-10</c:v>
                </c:pt>
                <c:pt idx="2">
                  <c:v>9.7999999999999992E-10</c:v>
                </c:pt>
                <c:pt idx="3">
                  <c:v>1.6000000000000001E-9</c:v>
                </c:pt>
                <c:pt idx="4">
                  <c:v>2.8999999999999999E-9</c:v>
                </c:pt>
                <c:pt idx="5">
                  <c:v>5.4999999999999996E-9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C6-424C-928A-3CE7D3FB1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551728"/>
        <c:axId val="1"/>
      </c:scatterChart>
      <c:valAx>
        <c:axId val="403551728"/>
        <c:scaling>
          <c:orientation val="minMax"/>
          <c:max val="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Log10(TIME) [hour]</a:t>
                </a:r>
              </a:p>
            </c:rich>
          </c:tx>
          <c:layout>
            <c:manualLayout>
              <c:xMode val="edge"/>
              <c:yMode val="edge"/>
              <c:x val="0.45616211745244001"/>
              <c:y val="0.936949152542372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COMPLIANCE J [1/Pa]</a:t>
                </a:r>
              </a:p>
            </c:rich>
          </c:tx>
          <c:layout>
            <c:manualLayout>
              <c:xMode val="edge"/>
              <c:yMode val="edge"/>
              <c:x val="1.1579818031430935E-2"/>
              <c:y val="0.38440677966101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403551728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5971877584780811"/>
          <c:y val="0.37694915254237293"/>
          <c:w val="0.20264681555004135"/>
          <c:h val="0.251525423728813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5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99"/>
    </a:solidFill>
    <a:ln w="38100">
      <a:pattFill prst="pct50">
        <a:fgClr>
          <a:srgbClr val="0000FF"/>
        </a:fgClr>
        <a:bgClr>
          <a:srgbClr val="FFFFFF"/>
        </a:bgClr>
      </a:patt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MODULUS E(t,T) of a TYPICAL AMORPHOUS POLYMER as FUNCTION of TIME (t) and TEMPERATURE (T)</a:t>
            </a:r>
          </a:p>
        </c:rich>
      </c:tx>
      <c:layout>
        <c:manualLayout>
          <c:xMode val="edge"/>
          <c:yMode val="edge"/>
          <c:x val="0.17216718185409033"/>
          <c:y val="2.7207114538991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18698784411365"/>
          <c:y val="0.23431433337662161"/>
          <c:w val="0.86202875348653074"/>
          <c:h val="0.64686302934541284"/>
        </c:manualLayout>
      </c:layout>
      <c:scatterChart>
        <c:scatterStyle val="lineMarker"/>
        <c:varyColors val="0"/>
        <c:ser>
          <c:idx val="0"/>
          <c:order val="0"/>
          <c:tx>
            <c:v>E(t),T=23°C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3.9956348204939207E-3"/>
                  <c:y val="-0.62119291141441502"/>
                </c:manualLayout>
              </c:layout>
              <c:numFmt formatCode="0.00E+00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1" i="0" u="none" strike="noStrike" baseline="0">
                      <a:solidFill>
                        <a:srgbClr val="0000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E(t,T)'!$B$3:$B$9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E(t,T)'!$C$3:$C$9</c:f>
              <c:numCache>
                <c:formatCode>0.00E+00</c:formatCode>
                <c:ptCount val="7"/>
                <c:pt idx="0">
                  <c:v>4000</c:v>
                </c:pt>
                <c:pt idx="1">
                  <c:v>3846.1538461538462</c:v>
                </c:pt>
                <c:pt idx="2">
                  <c:v>3703.7037037037039</c:v>
                </c:pt>
                <c:pt idx="3">
                  <c:v>3333.3333333333335</c:v>
                </c:pt>
                <c:pt idx="4">
                  <c:v>2500</c:v>
                </c:pt>
                <c:pt idx="5">
                  <c:v>1538.4615384615383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B-4891-93BE-CE77B128BC6F}"/>
            </c:ext>
          </c:extLst>
        </c:ser>
        <c:ser>
          <c:idx val="1"/>
          <c:order val="1"/>
          <c:tx>
            <c:v>E(t),T=40°C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5.3519384365480982E-2"/>
                  <c:y val="-0.25565301466937362"/>
                </c:manualLayout>
              </c:layout>
              <c:numFmt formatCode="0.00E+00" sourceLinked="0"/>
              <c:spPr>
                <a:solidFill>
                  <a:srgbClr val="969696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1" i="0" u="none" strike="noStrike" baseline="0">
                      <a:solidFill>
                        <a:srgbClr val="FF99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E(t,T)'!$B$3:$B$9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E(t,T)'!$D$3:$D$9</c:f>
              <c:numCache>
                <c:formatCode>0.00E+00</c:formatCode>
                <c:ptCount val="7"/>
                <c:pt idx="0">
                  <c:v>3333.3333333333335</c:v>
                </c:pt>
                <c:pt idx="1">
                  <c:v>2777.7777777777778</c:v>
                </c:pt>
                <c:pt idx="2">
                  <c:v>2222.2222222222222</c:v>
                </c:pt>
                <c:pt idx="3">
                  <c:v>1587.3015873015872</c:v>
                </c:pt>
                <c:pt idx="4">
                  <c:v>1030.9278350515465</c:v>
                </c:pt>
                <c:pt idx="5">
                  <c:v>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7B-4891-93BE-CE77B128BC6F}"/>
            </c:ext>
          </c:extLst>
        </c:ser>
        <c:ser>
          <c:idx val="2"/>
          <c:order val="2"/>
          <c:tx>
            <c:v>E(t),T=60°C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9217432899021234"/>
                  <c:y val="-2.0293037100506117E-2"/>
                </c:manualLayout>
              </c:layout>
              <c:numFmt formatCode="0.00E+00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1" i="0" u="none" strike="noStrike" baseline="0">
                      <a:solidFill>
                        <a:srgbClr val="FF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E(t,T)'!$B$3:$B$8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E(t,T)'!$E$3:$E$8</c:f>
              <c:numCache>
                <c:formatCode>0.00E+00</c:formatCode>
                <c:ptCount val="6"/>
                <c:pt idx="0">
                  <c:v>2173.913043478261</c:v>
                </c:pt>
                <c:pt idx="1">
                  <c:v>1562.5</c:v>
                </c:pt>
                <c:pt idx="2">
                  <c:v>1020.4081632653063</c:v>
                </c:pt>
                <c:pt idx="3">
                  <c:v>625</c:v>
                </c:pt>
                <c:pt idx="4">
                  <c:v>344.82758620689657</c:v>
                </c:pt>
                <c:pt idx="5">
                  <c:v>181.81818181818184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7B-4891-93BE-CE77B128B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660680"/>
        <c:axId val="1"/>
      </c:scatterChart>
      <c:valAx>
        <c:axId val="330660680"/>
        <c:scaling>
          <c:orientation val="minMax"/>
          <c:max val="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Log10(TIME) [hour]</a:t>
                </a:r>
              </a:p>
            </c:rich>
          </c:tx>
          <c:layout>
            <c:manualLayout>
              <c:xMode val="edge"/>
              <c:yMode val="edge"/>
              <c:x val="0.43379767991411666"/>
              <c:y val="0.9411440641549139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MODULUS E [MPa]</a:t>
                </a:r>
              </a:p>
            </c:rich>
          </c:tx>
          <c:layout>
            <c:manualLayout>
              <c:xMode val="edge"/>
              <c:yMode val="edge"/>
              <c:x val="6.3618358190887887E-3"/>
              <c:y val="0.421432651736625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330660680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97700163734565"/>
          <c:y val="0.14825101187572981"/>
          <c:w val="0.17614332924102083"/>
          <c:h val="0.411438201497811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99"/>
    </a:solidFill>
    <a:ln w="38100">
      <a:pattFill prst="pct50">
        <a:fgClr>
          <a:srgbClr val="0000FF"/>
        </a:fgClr>
        <a:bgClr>
          <a:srgbClr val="FFFFFF"/>
        </a:bgClr>
      </a:patt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2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MODULUS E(t,T) of a TYPICAL AMORPHOUS POLYMER as FUNCTION of TIME (t) and TEMPERATURE (T)</a:t>
            </a:r>
          </a:p>
        </c:rich>
      </c:tx>
      <c:layout>
        <c:manualLayout>
          <c:xMode val="edge"/>
          <c:yMode val="edge"/>
          <c:x val="0.11373035566583954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24896608767577"/>
          <c:y val="0.26847457627118643"/>
          <c:w val="0.85649296939619513"/>
          <c:h val="0.62169491525423737"/>
        </c:manualLayout>
      </c:layout>
      <c:scatterChart>
        <c:scatterStyle val="lineMarker"/>
        <c:varyColors val="0"/>
        <c:ser>
          <c:idx val="0"/>
          <c:order val="0"/>
          <c:tx>
            <c:v>E(t),T=23°C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4.6177776966725981E-3"/>
                  <c:y val="-0.5992234232435214"/>
                </c:manualLayout>
              </c:layout>
              <c:numFmt formatCode="0.00E+00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1" i="0" u="none" strike="noStrike" baseline="0">
                      <a:solidFill>
                        <a:srgbClr val="0000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E(t,T) (2)'!$B$3:$B$9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E(t,T) (2)'!$C$3:$C$9</c:f>
              <c:numCache>
                <c:formatCode>0.00E+00</c:formatCode>
                <c:ptCount val="7"/>
                <c:pt idx="0">
                  <c:v>4000</c:v>
                </c:pt>
                <c:pt idx="1">
                  <c:v>3846.1538461538462</c:v>
                </c:pt>
                <c:pt idx="2">
                  <c:v>3703.7037037037039</c:v>
                </c:pt>
                <c:pt idx="3">
                  <c:v>3333.3333333333335</c:v>
                </c:pt>
                <c:pt idx="4">
                  <c:v>2500</c:v>
                </c:pt>
                <c:pt idx="5">
                  <c:v>1538.4615384615383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E2-47D8-B873-B2740EDD692C}"/>
            </c:ext>
          </c:extLst>
        </c:ser>
        <c:ser>
          <c:idx val="1"/>
          <c:order val="1"/>
          <c:tx>
            <c:v>E(t),T=40°C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5.2724457412636649E-2"/>
                  <c:y val="-0.24759443357550848"/>
                </c:manualLayout>
              </c:layout>
              <c:numFmt formatCode="0.00E+00" sourceLinked="0"/>
              <c:spPr>
                <a:solidFill>
                  <a:srgbClr val="969696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1" i="0" u="none" strike="noStrike" baseline="0">
                      <a:solidFill>
                        <a:srgbClr val="FF99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E(t,T) (2)'!$B$3:$B$9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E(t,T) (2)'!$D$3:$D$9</c:f>
              <c:numCache>
                <c:formatCode>0.00E+00</c:formatCode>
                <c:ptCount val="7"/>
                <c:pt idx="0">
                  <c:v>3333.3333333333335</c:v>
                </c:pt>
                <c:pt idx="1">
                  <c:v>2777.7777777777778</c:v>
                </c:pt>
                <c:pt idx="2">
                  <c:v>2222.2222222222222</c:v>
                </c:pt>
                <c:pt idx="3">
                  <c:v>1587.3015873015872</c:v>
                </c:pt>
                <c:pt idx="4">
                  <c:v>1030.9278350515465</c:v>
                </c:pt>
                <c:pt idx="5">
                  <c:v>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E2-47D8-B873-B2740EDD692C}"/>
            </c:ext>
          </c:extLst>
        </c:ser>
        <c:ser>
          <c:idx val="2"/>
          <c:order val="2"/>
          <c:tx>
            <c:v>E(t),T=60°C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8978568228117763"/>
                  <c:y val="-1.589620632847788E-2"/>
                </c:manualLayout>
              </c:layout>
              <c:numFmt formatCode="0.00E+00" sourceLinked="0"/>
              <c:spPr>
                <a:solidFill>
                  <a:srgbClr val="C0C0C0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1" i="0" u="none" strike="noStrike" baseline="0">
                      <a:solidFill>
                        <a:srgbClr val="FF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E(t,T) (2)'!$B$3:$B$8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E(t,T) (2)'!$E$3:$E$8</c:f>
              <c:numCache>
                <c:formatCode>0.00E+00</c:formatCode>
                <c:ptCount val="6"/>
                <c:pt idx="0">
                  <c:v>2173.913043478261</c:v>
                </c:pt>
                <c:pt idx="1">
                  <c:v>1562.5</c:v>
                </c:pt>
                <c:pt idx="2">
                  <c:v>1020.4081632653063</c:v>
                </c:pt>
                <c:pt idx="3">
                  <c:v>625</c:v>
                </c:pt>
                <c:pt idx="4">
                  <c:v>344.82758620689657</c:v>
                </c:pt>
                <c:pt idx="5">
                  <c:v>181.81818181818184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E2-47D8-B873-B2740EDD6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362144"/>
        <c:axId val="1"/>
      </c:scatterChart>
      <c:valAx>
        <c:axId val="405362144"/>
        <c:scaling>
          <c:orientation val="minMax"/>
          <c:max val="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Log10(TIME) [hour]</a:t>
                </a:r>
              </a:p>
            </c:rich>
          </c:tx>
          <c:layout>
            <c:manualLayout>
              <c:xMode val="edge"/>
              <c:yMode val="edge"/>
              <c:x val="0.4358974358974359"/>
              <c:y val="0.936949152542372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MODULUS E [MPa]</a:t>
                </a:r>
              </a:p>
            </c:rich>
          </c:tx>
          <c:layout>
            <c:manualLayout>
              <c:xMode val="edge"/>
              <c:yMode val="edge"/>
              <c:x val="1.1579818031430935E-2"/>
              <c:y val="0.412881355932203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405362144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555004135649301"/>
          <c:y val="0.1654237288135593"/>
          <c:w val="0.18320926385442515"/>
          <c:h val="0.502372881355932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99"/>
    </a:solidFill>
    <a:ln w="38100">
      <a:pattFill prst="pct50">
        <a:fgClr>
          <a:srgbClr val="0000FF"/>
        </a:fgClr>
        <a:bgClr>
          <a:srgbClr val="FFFFFF"/>
        </a:bgClr>
      </a:patt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2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MODULUS E(t,T) of a TYPICAL AMORPHOUS POLYMER as FUNCTION of TIME (t) and TEMPERATURE (T)</a:t>
            </a:r>
          </a:p>
        </c:rich>
      </c:tx>
      <c:layout>
        <c:manualLayout>
          <c:xMode val="edge"/>
          <c:yMode val="edge"/>
          <c:x val="0.11373035566583954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24896608767577"/>
          <c:y val="0.26847457627118643"/>
          <c:w val="0.85732009925558317"/>
          <c:h val="0.62169491525423737"/>
        </c:manualLayout>
      </c:layout>
      <c:scatterChart>
        <c:scatterStyle val="lineMarker"/>
        <c:varyColors val="0"/>
        <c:ser>
          <c:idx val="0"/>
          <c:order val="0"/>
          <c:tx>
            <c:v>E(t),T=23°C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8100">
                <a:solidFill>
                  <a:srgbClr val="00008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'DATA E(t,T) (2)'!$B$3:$B$9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E(t,T) (2)'!$C$3:$C$9</c:f>
              <c:numCache>
                <c:formatCode>0.00E+00</c:formatCode>
                <c:ptCount val="7"/>
                <c:pt idx="0">
                  <c:v>4000</c:v>
                </c:pt>
                <c:pt idx="1">
                  <c:v>3846.1538461538462</c:v>
                </c:pt>
                <c:pt idx="2">
                  <c:v>3703.7037037037039</c:v>
                </c:pt>
                <c:pt idx="3">
                  <c:v>3333.3333333333335</c:v>
                </c:pt>
                <c:pt idx="4">
                  <c:v>2500</c:v>
                </c:pt>
                <c:pt idx="5">
                  <c:v>1538.4615384615383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38-4F38-BDE5-FCF42B244F3B}"/>
            </c:ext>
          </c:extLst>
        </c:ser>
        <c:ser>
          <c:idx val="1"/>
          <c:order val="1"/>
          <c:tx>
            <c:v>E(t),T=40°C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spPr>
              <a:ln w="38100">
                <a:solidFill>
                  <a:srgbClr val="FF99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'DATA E(t,T) (2)'!$B$3:$B$9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E(t,T) (2)'!$D$3:$D$9</c:f>
              <c:numCache>
                <c:formatCode>0.00E+00</c:formatCode>
                <c:ptCount val="7"/>
                <c:pt idx="0">
                  <c:v>3333.3333333333335</c:v>
                </c:pt>
                <c:pt idx="1">
                  <c:v>2777.7777777777778</c:v>
                </c:pt>
                <c:pt idx="2">
                  <c:v>2222.2222222222222</c:v>
                </c:pt>
                <c:pt idx="3">
                  <c:v>1587.3015873015872</c:v>
                </c:pt>
                <c:pt idx="4">
                  <c:v>1030.9278350515465</c:v>
                </c:pt>
                <c:pt idx="5">
                  <c:v>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38-4F38-BDE5-FCF42B244F3B}"/>
            </c:ext>
          </c:extLst>
        </c:ser>
        <c:ser>
          <c:idx val="2"/>
          <c:order val="2"/>
          <c:tx>
            <c:v>E(t),T=60°C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38100">
                <a:solidFill>
                  <a:srgbClr val="FF000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3378850405147902"/>
                  <c:y val="-0.32907135671236587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E(t,T) (2)'!$B$3:$B$8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E(t,T) (2)'!$E$3:$E$8</c:f>
              <c:numCache>
                <c:formatCode>0.00E+00</c:formatCode>
                <c:ptCount val="6"/>
                <c:pt idx="0">
                  <c:v>2173.913043478261</c:v>
                </c:pt>
                <c:pt idx="1">
                  <c:v>1562.5</c:v>
                </c:pt>
                <c:pt idx="2">
                  <c:v>1020.4081632653063</c:v>
                </c:pt>
                <c:pt idx="3">
                  <c:v>625</c:v>
                </c:pt>
                <c:pt idx="4">
                  <c:v>344.82758620689657</c:v>
                </c:pt>
                <c:pt idx="5">
                  <c:v>181.81818181818184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38-4F38-BDE5-FCF42B244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363456"/>
        <c:axId val="1"/>
      </c:scatterChart>
      <c:valAx>
        <c:axId val="405363456"/>
        <c:scaling>
          <c:orientation val="minMax"/>
          <c:max val="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Log10(TIME) [hour]</a:t>
                </a:r>
              </a:p>
            </c:rich>
          </c:tx>
          <c:layout>
            <c:manualLayout>
              <c:xMode val="edge"/>
              <c:yMode val="edge"/>
              <c:x val="0.43631100082712987"/>
              <c:y val="0.936949152542372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MODULUS E [MPa]</a:t>
                </a:r>
              </a:p>
            </c:rich>
          </c:tx>
          <c:layout>
            <c:manualLayout>
              <c:xMode val="edge"/>
              <c:yMode val="edge"/>
              <c:x val="1.1579818031430935E-2"/>
              <c:y val="0.412881355932203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405363456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46815550041357"/>
          <c:y val="0.25627118644067792"/>
          <c:w val="0.18320926385442515"/>
          <c:h val="0.459661016949152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5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99"/>
    </a:solidFill>
    <a:ln w="38100">
      <a:pattFill prst="pct50">
        <a:fgClr>
          <a:srgbClr val="0000FF"/>
        </a:fgClr>
        <a:bgClr>
          <a:srgbClr val="FFFFFF"/>
        </a:bgClr>
      </a:patt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2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MODULUS E(t,T) of a TYPICAL AMORPHOUS POLYMER as FUNCTION of TIME (t) and TEMPERATURE (T)</a:t>
            </a:r>
          </a:p>
        </c:rich>
      </c:tx>
      <c:layout>
        <c:manualLayout>
          <c:xMode val="edge"/>
          <c:yMode val="edge"/>
          <c:x val="0.11373035566583954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24896608767577"/>
          <c:y val="0.26915254237288133"/>
          <c:w val="0.85649296939619513"/>
          <c:h val="0.62101694915254235"/>
        </c:manualLayout>
      </c:layout>
      <c:scatterChart>
        <c:scatterStyle val="lineMarker"/>
        <c:varyColors val="0"/>
        <c:ser>
          <c:idx val="0"/>
          <c:order val="0"/>
          <c:tx>
            <c:v>E(t),T=23°C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8100">
                <a:solidFill>
                  <a:srgbClr val="00008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'DATA E(t,T) (2)'!$B$3:$B$9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E(t,T) (2)'!$C$3:$C$9</c:f>
              <c:numCache>
                <c:formatCode>0.00E+00</c:formatCode>
                <c:ptCount val="7"/>
                <c:pt idx="0">
                  <c:v>4000</c:v>
                </c:pt>
                <c:pt idx="1">
                  <c:v>3846.1538461538462</c:v>
                </c:pt>
                <c:pt idx="2">
                  <c:v>3703.7037037037039</c:v>
                </c:pt>
                <c:pt idx="3">
                  <c:v>3333.3333333333335</c:v>
                </c:pt>
                <c:pt idx="4">
                  <c:v>2500</c:v>
                </c:pt>
                <c:pt idx="5">
                  <c:v>1538.4615384615383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26-4FC2-B51B-48BF8957C5F4}"/>
            </c:ext>
          </c:extLst>
        </c:ser>
        <c:ser>
          <c:idx val="1"/>
          <c:order val="1"/>
          <c:tx>
            <c:v>E(t),T=40°C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spPr>
              <a:ln w="38100">
                <a:solidFill>
                  <a:srgbClr val="FF99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'DATA E(t,T) (2)'!$B$3:$B$9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E(t,T) (2)'!$D$3:$D$9</c:f>
              <c:numCache>
                <c:formatCode>0.00E+00</c:formatCode>
                <c:ptCount val="7"/>
                <c:pt idx="0">
                  <c:v>3333.3333333333335</c:v>
                </c:pt>
                <c:pt idx="1">
                  <c:v>2777.7777777777778</c:v>
                </c:pt>
                <c:pt idx="2">
                  <c:v>2222.2222222222222</c:v>
                </c:pt>
                <c:pt idx="3">
                  <c:v>1587.3015873015872</c:v>
                </c:pt>
                <c:pt idx="4">
                  <c:v>1030.9278350515465</c:v>
                </c:pt>
                <c:pt idx="5">
                  <c:v>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26-4FC2-B51B-48BF8957C5F4}"/>
            </c:ext>
          </c:extLst>
        </c:ser>
        <c:ser>
          <c:idx val="2"/>
          <c:order val="2"/>
          <c:tx>
            <c:v>E(t),T=60°C</c:v>
          </c:tx>
          <c:spPr>
            <a:ln w="19050">
              <a:noFill/>
            </a:ln>
          </c:spPr>
          <c:marker>
            <c:symbol val="circle"/>
            <c:size val="12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trendline>
            <c:spPr>
              <a:ln w="38100">
                <a:solidFill>
                  <a:srgbClr val="FF0000"/>
                </a:solidFill>
                <a:prstDash val="solid"/>
              </a:ln>
            </c:spPr>
            <c:trendlineType val="exp"/>
            <c:dispRSqr val="1"/>
            <c:dispEq val="1"/>
            <c:trendlineLbl>
              <c:layout>
                <c:manualLayout>
                  <c:x val="-0.14195303275222904"/>
                  <c:y val="-0.2863510584545591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a-DK"/>
                </a:p>
              </c:txPr>
            </c:trendlineLbl>
          </c:trendline>
          <c:xVal>
            <c:numRef>
              <c:f>'DATA E(t,T) (2)'!$B$3:$B$8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'DATA E(t,T) (2)'!$E$3:$E$8</c:f>
              <c:numCache>
                <c:formatCode>0.00E+00</c:formatCode>
                <c:ptCount val="6"/>
                <c:pt idx="0">
                  <c:v>2173.913043478261</c:v>
                </c:pt>
                <c:pt idx="1">
                  <c:v>1562.5</c:v>
                </c:pt>
                <c:pt idx="2">
                  <c:v>1020.4081632653063</c:v>
                </c:pt>
                <c:pt idx="3">
                  <c:v>625</c:v>
                </c:pt>
                <c:pt idx="4">
                  <c:v>344.82758620689657</c:v>
                </c:pt>
                <c:pt idx="5">
                  <c:v>181.81818181818184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26-4FC2-B51B-48BF8957C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361816"/>
        <c:axId val="1"/>
      </c:scatterChart>
      <c:valAx>
        <c:axId val="405361816"/>
        <c:scaling>
          <c:orientation val="minMax"/>
          <c:max val="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Log10(TIME) [hour]</a:t>
                </a:r>
              </a:p>
            </c:rich>
          </c:tx>
          <c:layout>
            <c:manualLayout>
              <c:xMode val="edge"/>
              <c:yMode val="edge"/>
              <c:x val="0.4358974358974359"/>
              <c:y val="0.936949152542372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MODULUS E [MPa]</a:t>
                </a:r>
              </a:p>
            </c:rich>
          </c:tx>
          <c:layout>
            <c:manualLayout>
              <c:xMode val="edge"/>
              <c:yMode val="edge"/>
              <c:x val="1.1579818031430935E-2"/>
              <c:y val="0.413559322033898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a-DK"/>
          </a:p>
        </c:txPr>
        <c:crossAx val="405361816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44086021505375"/>
          <c:y val="0.25694915254237288"/>
          <c:w val="0.18320926385442515"/>
          <c:h val="0.459661016949152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5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rgbClr val="FFFF99"/>
    </a:solidFill>
    <a:ln w="38100">
      <a:pattFill prst="pct50">
        <a:fgClr>
          <a:srgbClr val="0000FF"/>
        </a:fgClr>
        <a:bgClr>
          <a:srgbClr val="FFFFFF"/>
        </a:bgClr>
      </a:patt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a-DK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29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60" workbookViewId="0"/>
  </sheetViews>
  <pageMargins left="0" right="0" top="0" bottom="0" header="0" footer="0"/>
  <pageSetup paperSize="9"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29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60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130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80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zoomScale="85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zoomScale="115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9961" cy="5616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562167" cy="74400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3566" cy="62909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1</xdr:row>
      <xdr:rowOff>91440</xdr:rowOff>
    </xdr:from>
    <xdr:to>
      <xdr:col>18</xdr:col>
      <xdr:colOff>400050</xdr:colOff>
      <xdr:row>45</xdr:row>
      <xdr:rowOff>72390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00000000-0008-0000-0500-00000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091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12385" cy="56173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1</xdr:row>
      <xdr:rowOff>91440</xdr:rowOff>
    </xdr:from>
    <xdr:to>
      <xdr:col>20</xdr:col>
      <xdr:colOff>582930</xdr:colOff>
      <xdr:row>45</xdr:row>
      <xdr:rowOff>72390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09690" cy="56164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11235" cy="561638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10261" cy="56156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91440</xdr:rowOff>
    </xdr:from>
    <xdr:to>
      <xdr:col>14</xdr:col>
      <xdr:colOff>266700</xdr:colOff>
      <xdr:row>39</xdr:row>
      <xdr:rowOff>45720</xdr:rowOff>
    </xdr:to>
    <xdr:pic>
      <xdr:nvPicPr>
        <xdr:cNvPr id="2049" name="Picture 1" descr="mptimg">
          <a:extLst>
            <a:ext uri="{FF2B5EF4-FFF2-40B4-BE49-F238E27FC236}">
              <a16:creationId xmlns:a16="http://schemas.microsoft.com/office/drawing/2014/main" id="{00000000-0008-0000-0E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91440"/>
          <a:ext cx="8648700" cy="6046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selection activeCell="F3" sqref="F3"/>
    </sheetView>
  </sheetViews>
  <sheetFormatPr defaultRowHeight="12.5" x14ac:dyDescent="0.25"/>
  <cols>
    <col min="6" max="6" width="12.453125" bestFit="1" customWidth="1"/>
    <col min="7" max="7" width="12" bestFit="1" customWidth="1"/>
    <col min="9" max="9" width="12.453125" bestFit="1" customWidth="1"/>
  </cols>
  <sheetData>
    <row r="1" spans="1:10" x14ac:dyDescent="0.25">
      <c r="A1" t="s">
        <v>11</v>
      </c>
      <c r="E1" t="s">
        <v>15</v>
      </c>
      <c r="F1" t="s">
        <v>13</v>
      </c>
      <c r="J1" t="s">
        <v>16</v>
      </c>
    </row>
    <row r="2" spans="1:10" x14ac:dyDescent="0.25">
      <c r="E2" t="s">
        <v>12</v>
      </c>
      <c r="F2" s="10" t="s">
        <v>14</v>
      </c>
    </row>
    <row r="3" spans="1:10" x14ac:dyDescent="0.25">
      <c r="C3">
        <f>D3*3600</f>
        <v>0.36000000000000004</v>
      </c>
      <c r="D3">
        <v>1E-4</v>
      </c>
      <c r="E3">
        <f>LOG(D3)</f>
        <v>-4</v>
      </c>
      <c r="F3" s="1">
        <f>0.00000000036883*EXP(E3*0.49799)</f>
        <v>5.0318652492941727E-11</v>
      </c>
      <c r="G3">
        <f>1/(F3*1000000)</f>
        <v>19873.346173971404</v>
      </c>
      <c r="H3">
        <f>EXP(1)</f>
        <v>2.7182818284590451</v>
      </c>
      <c r="I3">
        <f>0.0000000006*EXP(E3*0.6354)</f>
        <v>4.7244188667710204E-11</v>
      </c>
      <c r="J3">
        <f>1/(I3*1000000)</f>
        <v>21166.624471709172</v>
      </c>
    </row>
    <row r="4" spans="1:10" x14ac:dyDescent="0.25">
      <c r="C4">
        <f>D4*3600</f>
        <v>3.6</v>
      </c>
      <c r="D4">
        <v>1E-3</v>
      </c>
      <c r="E4">
        <f t="shared" ref="E4:E13" si="0">LOG(D4)</f>
        <v>-3</v>
      </c>
      <c r="F4" s="1">
        <f>0.00000000036883*EXP(E4*0.49799)</f>
        <v>8.2794847672413807E-11</v>
      </c>
      <c r="G4">
        <f t="shared" ref="G4:G13" si="1">1/(F4*1000000)</f>
        <v>12078.046256653568</v>
      </c>
      <c r="I4">
        <f t="shared" ref="I4:I13" si="2">0.0000000006*EXP(E4*0.6354)</f>
        <v>8.918649753626908E-11</v>
      </c>
      <c r="J4">
        <f t="shared" ref="J4:J13" si="3">1/(I4*1000000)</f>
        <v>11212.459594495616</v>
      </c>
    </row>
    <row r="5" spans="1:10" x14ac:dyDescent="0.25">
      <c r="C5">
        <f>D5*3600</f>
        <v>36</v>
      </c>
      <c r="D5">
        <v>0.01</v>
      </c>
      <c r="E5">
        <f t="shared" si="0"/>
        <v>-2</v>
      </c>
      <c r="F5" s="1">
        <f>0.00000000036883*EXP(E5*0.49799)</f>
        <v>1.3623152571622948E-10</v>
      </c>
      <c r="G5">
        <f t="shared" si="1"/>
        <v>7340.4448400805686</v>
      </c>
      <c r="I5">
        <f t="shared" si="2"/>
        <v>1.6836422779386994E-10</v>
      </c>
      <c r="J5">
        <f t="shared" si="3"/>
        <v>5939.5039736369081</v>
      </c>
    </row>
    <row r="6" spans="1:10" x14ac:dyDescent="0.25">
      <c r="D6">
        <v>0.1</v>
      </c>
      <c r="E6">
        <f t="shared" si="0"/>
        <v>-1</v>
      </c>
      <c r="F6" s="1">
        <f>0.00000000036883*EXP(E6*0.49799)</f>
        <v>2.2415680589693661E-10</v>
      </c>
      <c r="G6">
        <f t="shared" si="1"/>
        <v>4461.1627828948567</v>
      </c>
      <c r="I6">
        <f t="shared" si="2"/>
        <v>3.1783413390685708E-10</v>
      </c>
      <c r="J6">
        <f t="shared" si="3"/>
        <v>3146.2951688287044</v>
      </c>
    </row>
    <row r="7" spans="1:10" x14ac:dyDescent="0.25">
      <c r="D7">
        <v>1</v>
      </c>
      <c r="E7">
        <f t="shared" si="0"/>
        <v>0</v>
      </c>
      <c r="F7" s="1">
        <f>0.00000000036883*EXP(E7*0.49799)</f>
        <v>3.6883000000000001E-10</v>
      </c>
      <c r="G7">
        <f t="shared" si="1"/>
        <v>2711.2761977062605</v>
      </c>
      <c r="I7">
        <f t="shared" si="2"/>
        <v>6E-10</v>
      </c>
      <c r="J7">
        <f t="shared" si="3"/>
        <v>1666.6666666666667</v>
      </c>
    </row>
    <row r="8" spans="1:10" x14ac:dyDescent="0.25">
      <c r="D8">
        <v>10</v>
      </c>
      <c r="E8">
        <f t="shared" si="0"/>
        <v>1</v>
      </c>
      <c r="F8" s="1">
        <f t="shared" ref="F8:F13" si="4">0.00000000036883*EXP(E8*0.49799)</f>
        <v>6.0687681712660903E-10</v>
      </c>
      <c r="G8">
        <f t="shared" si="1"/>
        <v>1647.7808540038136</v>
      </c>
      <c r="I8">
        <f t="shared" si="2"/>
        <v>1.1326662607783338E-9</v>
      </c>
      <c r="J8">
        <f t="shared" si="3"/>
        <v>882.87259418571398</v>
      </c>
    </row>
    <row r="9" spans="1:10" x14ac:dyDescent="0.25">
      <c r="D9">
        <v>100</v>
      </c>
      <c r="E9">
        <f t="shared" si="0"/>
        <v>2</v>
      </c>
      <c r="F9" s="1">
        <f t="shared" si="4"/>
        <v>9.9856158979942955E-10</v>
      </c>
      <c r="G9">
        <f t="shared" si="1"/>
        <v>1001.4404822048676</v>
      </c>
      <c r="I9">
        <f t="shared" si="2"/>
        <v>2.1382214305092869E-9</v>
      </c>
      <c r="J9">
        <f t="shared" si="3"/>
        <v>467.6784105385276</v>
      </c>
    </row>
    <row r="10" spans="1:10" x14ac:dyDescent="0.25">
      <c r="D10">
        <v>1000</v>
      </c>
      <c r="E10">
        <f t="shared" si="0"/>
        <v>3</v>
      </c>
      <c r="F10" s="1">
        <f t="shared" si="4"/>
        <v>1.6430438937243837E-9</v>
      </c>
      <c r="G10">
        <f t="shared" si="1"/>
        <v>608.6264669005534</v>
      </c>
      <c r="I10">
        <f t="shared" si="2"/>
        <v>4.0364854540184225E-9</v>
      </c>
      <c r="J10">
        <f t="shared" si="3"/>
        <v>247.74027093408074</v>
      </c>
    </row>
    <row r="11" spans="1:10" x14ac:dyDescent="0.25">
      <c r="D11">
        <v>10000</v>
      </c>
      <c r="E11">
        <f t="shared" si="0"/>
        <v>4</v>
      </c>
      <c r="F11" s="1">
        <f t="shared" si="4"/>
        <v>2.7034819527228383E-9</v>
      </c>
      <c r="G11">
        <f t="shared" si="1"/>
        <v>369.89335142142903</v>
      </c>
      <c r="I11">
        <f t="shared" si="2"/>
        <v>7.6199848098153018E-9</v>
      </c>
      <c r="J11">
        <f t="shared" si="3"/>
        <v>131.23385741030611</v>
      </c>
    </row>
    <row r="12" spans="1:10" x14ac:dyDescent="0.25">
      <c r="D12">
        <v>100000</v>
      </c>
      <c r="E12">
        <f t="shared" si="0"/>
        <v>5</v>
      </c>
      <c r="F12" s="1">
        <f t="shared" si="4"/>
        <v>4.448338049040658E-9</v>
      </c>
      <c r="G12">
        <f t="shared" si="1"/>
        <v>224.80305879982816</v>
      </c>
      <c r="I12">
        <f t="shared" si="2"/>
        <v>1.4384832836201997E-8</v>
      </c>
      <c r="J12">
        <f t="shared" si="3"/>
        <v>69.517665682101054</v>
      </c>
    </row>
    <row r="13" spans="1:10" x14ac:dyDescent="0.25">
      <c r="D13">
        <v>1000000</v>
      </c>
      <c r="E13">
        <f t="shared" si="0"/>
        <v>6</v>
      </c>
      <c r="F13" s="1">
        <f t="shared" si="4"/>
        <v>7.3193428861670257E-9</v>
      </c>
      <c r="G13">
        <f t="shared" si="1"/>
        <v>136.62428657221679</v>
      </c>
      <c r="I13">
        <f t="shared" si="2"/>
        <v>2.7155358034170519E-8</v>
      </c>
      <c r="J13">
        <f t="shared" si="3"/>
        <v>36.825145105495046</v>
      </c>
    </row>
    <row r="14" spans="1:10" x14ac:dyDescent="0.25">
      <c r="I14" t="s">
        <v>18</v>
      </c>
      <c r="J14" t="s">
        <v>19</v>
      </c>
    </row>
    <row r="15" spans="1:10" x14ac:dyDescent="0.25">
      <c r="I15" s="10" t="s">
        <v>14</v>
      </c>
      <c r="J15" t="s">
        <v>17</v>
      </c>
    </row>
    <row r="16" spans="1:10" x14ac:dyDescent="0.25">
      <c r="D16">
        <v>44.4</v>
      </c>
      <c r="E16" s="11">
        <f>LOG(D16)</f>
        <v>1.6473829701146199</v>
      </c>
      <c r="I16">
        <f>0.0000000006*EXP(E16*0.6354)</f>
        <v>1.7090224073780516E-9</v>
      </c>
      <c r="J16">
        <f>1/(I16*1000000)</f>
        <v>585.12983544445171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7"/>
  <sheetViews>
    <sheetView tabSelected="1" zoomScale="85" workbookViewId="0">
      <selection activeCell="A13" sqref="A13"/>
    </sheetView>
  </sheetViews>
  <sheetFormatPr defaultRowHeight="12.5" x14ac:dyDescent="0.25"/>
  <cols>
    <col min="2" max="2" width="8.453125" customWidth="1"/>
    <col min="3" max="4" width="11.453125" bestFit="1" customWidth="1"/>
    <col min="5" max="5" width="11.54296875" bestFit="1" customWidth="1"/>
  </cols>
  <sheetData>
    <row r="1" spans="1:5" x14ac:dyDescent="0.25">
      <c r="A1" t="s">
        <v>0</v>
      </c>
      <c r="C1" t="s">
        <v>2</v>
      </c>
    </row>
    <row r="2" spans="1:5" x14ac:dyDescent="0.25">
      <c r="A2" t="s">
        <v>1</v>
      </c>
      <c r="C2">
        <v>23</v>
      </c>
      <c r="D2">
        <v>40</v>
      </c>
      <c r="E2">
        <v>60</v>
      </c>
    </row>
    <row r="3" spans="1:5" x14ac:dyDescent="0.25">
      <c r="A3">
        <v>1</v>
      </c>
      <c r="B3">
        <f t="shared" ref="B3:B9" si="0">LOG10(A3)</f>
        <v>0</v>
      </c>
      <c r="C3" s="1">
        <v>2.5000000000000002E-10</v>
      </c>
      <c r="D3" s="1">
        <v>3E-10</v>
      </c>
      <c r="E3" s="1">
        <v>4.6000000000000001E-10</v>
      </c>
    </row>
    <row r="4" spans="1:5" x14ac:dyDescent="0.25">
      <c r="A4">
        <f>10*A3</f>
        <v>10</v>
      </c>
      <c r="B4">
        <f t="shared" si="0"/>
        <v>1</v>
      </c>
      <c r="C4" s="1">
        <v>2.5999999999999998E-10</v>
      </c>
      <c r="D4" s="1">
        <v>3.6E-10</v>
      </c>
      <c r="E4" s="1">
        <v>6.3999999999999996E-10</v>
      </c>
    </row>
    <row r="5" spans="1:5" x14ac:dyDescent="0.25">
      <c r="A5">
        <f>10*A4</f>
        <v>100</v>
      </c>
      <c r="B5">
        <f t="shared" si="0"/>
        <v>2</v>
      </c>
      <c r="C5" s="1">
        <v>2.7E-10</v>
      </c>
      <c r="D5" s="1">
        <v>4.5E-10</v>
      </c>
      <c r="E5" s="1">
        <v>9.7999999999999992E-10</v>
      </c>
    </row>
    <row r="6" spans="1:5" x14ac:dyDescent="0.25">
      <c r="A6">
        <f>10*A5</f>
        <v>1000</v>
      </c>
      <c r="B6">
        <f t="shared" si="0"/>
        <v>3</v>
      </c>
      <c r="C6" s="1">
        <v>3E-10</v>
      </c>
      <c r="D6" s="1">
        <v>6.3E-10</v>
      </c>
      <c r="E6" s="1">
        <v>1.6000000000000001E-9</v>
      </c>
    </row>
    <row r="7" spans="1:5" x14ac:dyDescent="0.25">
      <c r="A7">
        <f>10*A6</f>
        <v>10000</v>
      </c>
      <c r="B7">
        <f t="shared" si="0"/>
        <v>4</v>
      </c>
      <c r="C7" s="1">
        <v>4.0000000000000001E-10</v>
      </c>
      <c r="D7" s="1">
        <v>9.6999999999999996E-10</v>
      </c>
      <c r="E7" s="1">
        <v>2.8999999999999999E-9</v>
      </c>
    </row>
    <row r="8" spans="1:5" x14ac:dyDescent="0.25">
      <c r="A8">
        <f>10*A7</f>
        <v>100000</v>
      </c>
      <c r="B8">
        <f t="shared" si="0"/>
        <v>5</v>
      </c>
      <c r="C8" s="1">
        <v>6.5000000000000003E-10</v>
      </c>
      <c r="D8" s="1">
        <v>1.6000000000000001E-9</v>
      </c>
      <c r="E8" s="1">
        <v>5.4999999999999996E-9</v>
      </c>
    </row>
    <row r="9" spans="1:5" x14ac:dyDescent="0.25">
      <c r="A9">
        <v>1000000</v>
      </c>
      <c r="B9">
        <f t="shared" si="0"/>
        <v>6</v>
      </c>
      <c r="C9" s="1">
        <f>C22</f>
        <v>1.07108E-9</v>
      </c>
      <c r="D9" s="1">
        <f>D22</f>
        <v>2.5677999999999998E-9</v>
      </c>
      <c r="E9" s="1"/>
    </row>
    <row r="10" spans="1:5" x14ac:dyDescent="0.25">
      <c r="C10" t="s">
        <v>4</v>
      </c>
    </row>
    <row r="11" spans="1:5" ht="13.5" thickBot="1" x14ac:dyDescent="0.35">
      <c r="A11" t="s">
        <v>3</v>
      </c>
      <c r="C11" s="9" t="s">
        <v>8</v>
      </c>
      <c r="D11" s="9" t="s">
        <v>9</v>
      </c>
      <c r="E11" s="9" t="s">
        <v>10</v>
      </c>
    </row>
    <row r="12" spans="1:5" ht="13.5" thickBot="1" x14ac:dyDescent="0.35">
      <c r="A12" s="2">
        <v>11</v>
      </c>
      <c r="B12">
        <f>LOG10(A12)</f>
        <v>1.0413926851582251</v>
      </c>
      <c r="C12" s="8">
        <f>0.00000000000833*$B12^3-0.0000000000346*$B12^2+0.0000000000449*$B12+0.000000000248</f>
        <v>2.6664268638354373E-10</v>
      </c>
      <c r="D12" s="5">
        <f>0.000000000014*$B12^3-0.0000000000361*$B12^2+0.0000000000909*$B12+0.000000000298</f>
        <v>3.6932363766471394E-10</v>
      </c>
      <c r="E12" s="5">
        <f>0.0000000000639*$B12^3-0.000000000195*$B12^2+0.000000000383*$B12+0.000000000442</f>
        <v>7.0154410668889191E-10</v>
      </c>
    </row>
    <row r="13" spans="1:5" x14ac:dyDescent="0.25">
      <c r="C13" s="1">
        <v>2.6664268638354399E-8</v>
      </c>
      <c r="D13" s="1">
        <v>2.6662851888108501E-8</v>
      </c>
      <c r="E13" s="5">
        <f>D13-C13</f>
        <v>-1.4167502458984408E-12</v>
      </c>
    </row>
    <row r="14" spans="1:5" x14ac:dyDescent="0.25">
      <c r="C14">
        <v>2.4800000000000002E-10</v>
      </c>
      <c r="D14">
        <f>C14*70</f>
        <v>1.7360000000000001E-8</v>
      </c>
      <c r="E14" s="7">
        <f>(E13+D14)*10^6</f>
        <v>1.7358583249754103E-2</v>
      </c>
    </row>
    <row r="16" spans="1:5" x14ac:dyDescent="0.25">
      <c r="A16">
        <v>1</v>
      </c>
      <c r="B16">
        <f t="shared" ref="B16:B22" si="1">LOG10(A16)</f>
        <v>0</v>
      </c>
      <c r="C16" s="4">
        <f t="shared" ref="C16:C22" si="2">0.00000000000833*$B16^3-0.0000000000346*$B16^2+0.0000000000449*$B16+0.000000000248</f>
        <v>2.4800000000000002E-10</v>
      </c>
      <c r="D16" s="4">
        <f t="shared" ref="D16:D22" si="3">0.000000000014*$B16^3-0.0000000000361*$B16^2+0.0000000000909*$B16+0.000000000298</f>
        <v>2.98E-10</v>
      </c>
      <c r="E16" s="4">
        <f t="shared" ref="E16:E21" si="4">0.0000000000639*$B16^3-0.000000000195*$B16^2+0.000000000383*$B16+0.000000000442</f>
        <v>4.4200000000000002E-10</v>
      </c>
    </row>
    <row r="17" spans="1:5" x14ac:dyDescent="0.25">
      <c r="A17">
        <f>10*A16</f>
        <v>10</v>
      </c>
      <c r="B17">
        <f t="shared" si="1"/>
        <v>1</v>
      </c>
      <c r="C17" s="4">
        <f t="shared" si="2"/>
        <v>2.6663000000000004E-10</v>
      </c>
      <c r="D17" s="4">
        <f t="shared" si="3"/>
        <v>3.6680000000000002E-10</v>
      </c>
      <c r="E17" s="4">
        <f t="shared" si="4"/>
        <v>6.9390000000000005E-10</v>
      </c>
    </row>
    <row r="18" spans="1:5" x14ac:dyDescent="0.25">
      <c r="A18">
        <f>10*A17</f>
        <v>100</v>
      </c>
      <c r="B18">
        <f t="shared" si="1"/>
        <v>2</v>
      </c>
      <c r="C18" s="4">
        <f t="shared" si="2"/>
        <v>2.6604000000000004E-10</v>
      </c>
      <c r="D18" s="4">
        <f t="shared" si="3"/>
        <v>4.4740000000000003E-10</v>
      </c>
      <c r="E18" s="4">
        <f t="shared" si="4"/>
        <v>9.3920000000000002E-10</v>
      </c>
    </row>
    <row r="19" spans="1:5" x14ac:dyDescent="0.25">
      <c r="A19">
        <f>10*A18</f>
        <v>1000</v>
      </c>
      <c r="B19">
        <f t="shared" si="1"/>
        <v>3</v>
      </c>
      <c r="C19" s="4">
        <f t="shared" si="2"/>
        <v>2.9621E-10</v>
      </c>
      <c r="D19" s="4">
        <f t="shared" si="3"/>
        <v>6.2380000000000006E-10</v>
      </c>
      <c r="E19" s="4">
        <f t="shared" si="4"/>
        <v>1.5613E-9</v>
      </c>
    </row>
    <row r="20" spans="1:5" x14ac:dyDescent="0.25">
      <c r="A20">
        <f>10*A19</f>
        <v>10000</v>
      </c>
      <c r="B20">
        <f t="shared" si="1"/>
        <v>4</v>
      </c>
      <c r="C20" s="4">
        <f t="shared" si="2"/>
        <v>4.0712000000000004E-10</v>
      </c>
      <c r="D20" s="4">
        <f t="shared" si="3"/>
        <v>9.8000000000000013E-10</v>
      </c>
      <c r="E20" s="4">
        <f t="shared" si="4"/>
        <v>2.9435999999999996E-9</v>
      </c>
    </row>
    <row r="21" spans="1:5" x14ac:dyDescent="0.25">
      <c r="A21">
        <f>10*A20</f>
        <v>100000</v>
      </c>
      <c r="B21">
        <f t="shared" si="1"/>
        <v>5</v>
      </c>
      <c r="C21" s="4">
        <f t="shared" si="2"/>
        <v>6.4875000000000006E-10</v>
      </c>
      <c r="D21" s="4">
        <f t="shared" si="3"/>
        <v>1.6000000000000001E-9</v>
      </c>
      <c r="E21" s="4">
        <f t="shared" si="4"/>
        <v>5.4694999999999998E-9</v>
      </c>
    </row>
    <row r="22" spans="1:5" x14ac:dyDescent="0.25">
      <c r="A22">
        <v>1000000</v>
      </c>
      <c r="B22">
        <f t="shared" si="1"/>
        <v>6</v>
      </c>
      <c r="C22" s="4">
        <f t="shared" si="2"/>
        <v>1.07108E-9</v>
      </c>
      <c r="D22" s="4">
        <f t="shared" si="3"/>
        <v>2.5677999999999998E-9</v>
      </c>
      <c r="E22" s="4"/>
    </row>
    <row r="24" spans="1:5" x14ac:dyDescent="0.25">
      <c r="A24">
        <v>1</v>
      </c>
      <c r="B24">
        <f t="shared" ref="B24:B29" si="5">LOG10(A24)</f>
        <v>0</v>
      </c>
      <c r="C24" s="3">
        <f t="shared" ref="C24:E29" si="6">(1-C16/C3)</f>
        <v>8.0000000000000071E-3</v>
      </c>
      <c r="D24" s="3">
        <f t="shared" si="6"/>
        <v>6.6666666666665986E-3</v>
      </c>
      <c r="E24" s="3">
        <f t="shared" si="6"/>
        <v>3.9130434782608692E-2</v>
      </c>
    </row>
    <row r="25" spans="1:5" x14ac:dyDescent="0.25">
      <c r="A25">
        <f>10*A24</f>
        <v>10</v>
      </c>
      <c r="B25">
        <f t="shared" si="5"/>
        <v>1</v>
      </c>
      <c r="C25" s="3">
        <f t="shared" si="6"/>
        <v>-2.55000000000003E-2</v>
      </c>
      <c r="D25" s="3">
        <f t="shared" si="6"/>
        <v>-1.8888888888888955E-2</v>
      </c>
      <c r="E25" s="3">
        <f t="shared" si="6"/>
        <v>-8.4218750000000231E-2</v>
      </c>
    </row>
    <row r="26" spans="1:5" x14ac:dyDescent="0.25">
      <c r="A26">
        <f>10*A25</f>
        <v>100</v>
      </c>
      <c r="B26">
        <f t="shared" si="5"/>
        <v>2</v>
      </c>
      <c r="C26" s="3">
        <f t="shared" si="6"/>
        <v>1.4666666666666495E-2</v>
      </c>
      <c r="D26" s="3">
        <f t="shared" si="6"/>
        <v>5.7777777777776596E-3</v>
      </c>
      <c r="E26" s="3">
        <f t="shared" si="6"/>
        <v>4.1632653061224434E-2</v>
      </c>
    </row>
    <row r="27" spans="1:5" x14ac:dyDescent="0.25">
      <c r="A27">
        <f>10*A26</f>
        <v>1000</v>
      </c>
      <c r="B27">
        <f t="shared" si="5"/>
        <v>3</v>
      </c>
      <c r="C27" s="3">
        <f t="shared" si="6"/>
        <v>1.2633333333333274E-2</v>
      </c>
      <c r="D27" s="3">
        <f t="shared" si="6"/>
        <v>9.8412698412697619E-3</v>
      </c>
      <c r="E27" s="3">
        <f t="shared" si="6"/>
        <v>2.4187500000000028E-2</v>
      </c>
    </row>
    <row r="28" spans="1:5" x14ac:dyDescent="0.25">
      <c r="A28">
        <f>10*A27</f>
        <v>10000</v>
      </c>
      <c r="B28">
        <f t="shared" si="5"/>
        <v>4</v>
      </c>
      <c r="C28" s="3">
        <f t="shared" si="6"/>
        <v>-1.7800000000000038E-2</v>
      </c>
      <c r="D28" s="3">
        <f t="shared" si="6"/>
        <v>-1.0309278350515649E-2</v>
      </c>
      <c r="E28" s="3">
        <f t="shared" si="6"/>
        <v>-1.5034482758620626E-2</v>
      </c>
    </row>
    <row r="29" spans="1:5" x14ac:dyDescent="0.25">
      <c r="A29">
        <f>10*A28</f>
        <v>100000</v>
      </c>
      <c r="B29">
        <f t="shared" si="5"/>
        <v>5</v>
      </c>
      <c r="C29" s="3">
        <f t="shared" si="6"/>
        <v>1.9230769230769162E-3</v>
      </c>
      <c r="D29" s="3">
        <f t="shared" si="6"/>
        <v>0</v>
      </c>
      <c r="E29" s="3">
        <f t="shared" si="6"/>
        <v>5.5454545454545201E-3</v>
      </c>
    </row>
    <row r="30" spans="1:5" x14ac:dyDescent="0.25">
      <c r="C30" s="3"/>
      <c r="D30" s="3"/>
      <c r="E30" s="3"/>
    </row>
    <row r="31" spans="1:5" x14ac:dyDescent="0.25">
      <c r="A31" t="s">
        <v>0</v>
      </c>
      <c r="C31" t="s">
        <v>2</v>
      </c>
    </row>
    <row r="32" spans="1:5" x14ac:dyDescent="0.25">
      <c r="A32" t="s">
        <v>1</v>
      </c>
      <c r="B32" t="s">
        <v>5</v>
      </c>
      <c r="C32">
        <v>23</v>
      </c>
      <c r="D32">
        <v>40</v>
      </c>
      <c r="E32">
        <v>60</v>
      </c>
    </row>
    <row r="33" spans="1:5" x14ac:dyDescent="0.25">
      <c r="A33">
        <v>1</v>
      </c>
      <c r="B33">
        <f t="shared" ref="B33:B38" si="7">LOG10(A33)</f>
        <v>0</v>
      </c>
      <c r="C33" s="1">
        <f t="shared" ref="C33:E36" si="8">1/C3</f>
        <v>3999999999.9999995</v>
      </c>
      <c r="D33" s="1">
        <f t="shared" si="8"/>
        <v>3333333333.3333335</v>
      </c>
      <c r="E33" s="1">
        <f t="shared" si="8"/>
        <v>2173913043.478261</v>
      </c>
    </row>
    <row r="34" spans="1:5" x14ac:dyDescent="0.25">
      <c r="A34">
        <f>10*A33</f>
        <v>10</v>
      </c>
      <c r="B34">
        <f t="shared" si="7"/>
        <v>1</v>
      </c>
      <c r="C34" s="1">
        <f t="shared" si="8"/>
        <v>3846153846.1538463</v>
      </c>
      <c r="D34" s="1">
        <f t="shared" si="8"/>
        <v>2777777777.7777777</v>
      </c>
      <c r="E34" s="1">
        <f t="shared" si="8"/>
        <v>1562500000</v>
      </c>
    </row>
    <row r="35" spans="1:5" x14ac:dyDescent="0.25">
      <c r="A35">
        <f>10*A34</f>
        <v>100</v>
      </c>
      <c r="B35">
        <f t="shared" si="7"/>
        <v>2</v>
      </c>
      <c r="C35" s="1">
        <f t="shared" si="8"/>
        <v>3703703703.7037039</v>
      </c>
      <c r="D35" s="1">
        <f t="shared" si="8"/>
        <v>2222222222.2222223</v>
      </c>
      <c r="E35" s="1">
        <f t="shared" si="8"/>
        <v>1020408163.2653062</v>
      </c>
    </row>
    <row r="36" spans="1:5" x14ac:dyDescent="0.25">
      <c r="A36">
        <f>10*A35</f>
        <v>1000</v>
      </c>
      <c r="B36">
        <f t="shared" si="7"/>
        <v>3</v>
      </c>
      <c r="C36" s="1">
        <f t="shared" si="8"/>
        <v>3333333333.3333335</v>
      </c>
      <c r="D36" s="1">
        <f t="shared" si="8"/>
        <v>1587301587.3015873</v>
      </c>
      <c r="E36" s="1">
        <f t="shared" si="8"/>
        <v>625000000</v>
      </c>
    </row>
    <row r="37" spans="1:5" x14ac:dyDescent="0.25">
      <c r="A37">
        <f>10*A36</f>
        <v>10000</v>
      </c>
      <c r="B37">
        <f t="shared" si="7"/>
        <v>4</v>
      </c>
      <c r="C37" s="1">
        <f t="shared" ref="C37:E38" si="9">1/C7</f>
        <v>2500000000</v>
      </c>
      <c r="D37" s="1">
        <f t="shared" si="9"/>
        <v>1030927835.0515465</v>
      </c>
      <c r="E37" s="1">
        <f t="shared" si="9"/>
        <v>344827586.20689654</v>
      </c>
    </row>
    <row r="38" spans="1:5" x14ac:dyDescent="0.25">
      <c r="A38">
        <f>10*A37</f>
        <v>100000</v>
      </c>
      <c r="B38">
        <f t="shared" si="7"/>
        <v>5</v>
      </c>
      <c r="C38" s="1">
        <f t="shared" si="9"/>
        <v>1538461538.4615383</v>
      </c>
      <c r="D38" s="1">
        <f t="shared" si="9"/>
        <v>625000000</v>
      </c>
      <c r="E38" s="1">
        <f t="shared" si="9"/>
        <v>181818181.81818184</v>
      </c>
    </row>
    <row r="40" spans="1:5" x14ac:dyDescent="0.25">
      <c r="A40" t="s">
        <v>0</v>
      </c>
      <c r="C40" t="s">
        <v>2</v>
      </c>
    </row>
    <row r="41" spans="1:5" x14ac:dyDescent="0.25">
      <c r="A41" t="s">
        <v>1</v>
      </c>
      <c r="B41" t="s">
        <v>6</v>
      </c>
      <c r="C41">
        <v>23</v>
      </c>
      <c r="D41">
        <v>40</v>
      </c>
      <c r="E41">
        <v>60</v>
      </c>
    </row>
    <row r="42" spans="1:5" x14ac:dyDescent="0.25">
      <c r="A42">
        <v>1</v>
      </c>
      <c r="B42">
        <f t="shared" ref="B42:B47" si="10">LOG10(A42)</f>
        <v>0</v>
      </c>
      <c r="C42" s="6">
        <f t="shared" ref="C42:E45" si="11">C33/1000000</f>
        <v>3999.9999999999995</v>
      </c>
      <c r="D42" s="6">
        <f t="shared" si="11"/>
        <v>3333.3333333333335</v>
      </c>
      <c r="E42" s="6">
        <f t="shared" si="11"/>
        <v>2173.913043478261</v>
      </c>
    </row>
    <row r="43" spans="1:5" x14ac:dyDescent="0.25">
      <c r="A43">
        <f>10*A42</f>
        <v>10</v>
      </c>
      <c r="B43">
        <f t="shared" si="10"/>
        <v>1</v>
      </c>
      <c r="C43" s="6">
        <f t="shared" si="11"/>
        <v>3846.1538461538462</v>
      </c>
      <c r="D43" s="6">
        <f t="shared" si="11"/>
        <v>2777.7777777777778</v>
      </c>
      <c r="E43" s="6">
        <f t="shared" si="11"/>
        <v>1562.5</v>
      </c>
    </row>
    <row r="44" spans="1:5" x14ac:dyDescent="0.25">
      <c r="A44">
        <f>10*A43</f>
        <v>100</v>
      </c>
      <c r="B44">
        <f t="shared" si="10"/>
        <v>2</v>
      </c>
      <c r="C44" s="6">
        <f t="shared" si="11"/>
        <v>3703.7037037037039</v>
      </c>
      <c r="D44" s="6">
        <f t="shared" si="11"/>
        <v>2222.2222222222222</v>
      </c>
      <c r="E44" s="6">
        <f t="shared" si="11"/>
        <v>1020.4081632653063</v>
      </c>
    </row>
    <row r="45" spans="1:5" x14ac:dyDescent="0.25">
      <c r="A45">
        <f>10*A44</f>
        <v>1000</v>
      </c>
      <c r="B45">
        <f t="shared" si="10"/>
        <v>3</v>
      </c>
      <c r="C45" s="6">
        <f t="shared" si="11"/>
        <v>3333.3333333333335</v>
      </c>
      <c r="D45" s="6">
        <f t="shared" si="11"/>
        <v>1587.3015873015872</v>
      </c>
      <c r="E45" s="6">
        <f t="shared" si="11"/>
        <v>625</v>
      </c>
    </row>
    <row r="46" spans="1:5" x14ac:dyDescent="0.25">
      <c r="A46">
        <f>10*A45</f>
        <v>10000</v>
      </c>
      <c r="B46">
        <f t="shared" si="10"/>
        <v>4</v>
      </c>
      <c r="C46" s="6">
        <f t="shared" ref="C46:E47" si="12">C37/1000000</f>
        <v>2500</v>
      </c>
      <c r="D46" s="6">
        <f t="shared" si="12"/>
        <v>1030.9278350515465</v>
      </c>
      <c r="E46" s="6">
        <f t="shared" si="12"/>
        <v>344.82758620689657</v>
      </c>
    </row>
    <row r="47" spans="1:5" x14ac:dyDescent="0.25">
      <c r="A47">
        <f>10*A46</f>
        <v>100000</v>
      </c>
      <c r="B47">
        <f t="shared" si="10"/>
        <v>5</v>
      </c>
      <c r="C47" s="6">
        <f t="shared" si="12"/>
        <v>1538.4615384615383</v>
      </c>
      <c r="D47" s="6">
        <f t="shared" si="12"/>
        <v>625</v>
      </c>
      <c r="E47" s="6">
        <f t="shared" si="12"/>
        <v>181.81818181818184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7"/>
  <sheetViews>
    <sheetView workbookViewId="0">
      <selection activeCell="I32" sqref="I32"/>
    </sheetView>
  </sheetViews>
  <sheetFormatPr defaultRowHeight="12.5" x14ac:dyDescent="0.25"/>
  <cols>
    <col min="2" max="2" width="8.453125" customWidth="1"/>
    <col min="3" max="4" width="11.453125" bestFit="1" customWidth="1"/>
    <col min="5" max="5" width="11.54296875" bestFit="1" customWidth="1"/>
  </cols>
  <sheetData>
    <row r="1" spans="1:5" x14ac:dyDescent="0.25">
      <c r="A1" t="s">
        <v>0</v>
      </c>
      <c r="C1" t="s">
        <v>2</v>
      </c>
    </row>
    <row r="2" spans="1:5" x14ac:dyDescent="0.25">
      <c r="A2" t="s">
        <v>1</v>
      </c>
      <c r="C2">
        <v>23</v>
      </c>
      <c r="D2">
        <v>40</v>
      </c>
      <c r="E2">
        <v>60</v>
      </c>
    </row>
    <row r="3" spans="1:5" x14ac:dyDescent="0.25">
      <c r="A3">
        <v>1</v>
      </c>
      <c r="B3">
        <f t="shared" ref="B3:B9" si="0">LOG10(A3)</f>
        <v>0</v>
      </c>
      <c r="C3" s="1">
        <v>2.5000000000000002E-10</v>
      </c>
      <c r="D3" s="1">
        <v>3E-10</v>
      </c>
      <c r="E3" s="1">
        <v>4.6000000000000001E-10</v>
      </c>
    </row>
    <row r="4" spans="1:5" x14ac:dyDescent="0.25">
      <c r="A4">
        <f>10*A3</f>
        <v>10</v>
      </c>
      <c r="B4">
        <f t="shared" si="0"/>
        <v>1</v>
      </c>
      <c r="C4" s="1">
        <v>2.5999999999999998E-10</v>
      </c>
      <c r="D4" s="1">
        <v>3.6E-10</v>
      </c>
      <c r="E4" s="1">
        <v>6.3999999999999996E-10</v>
      </c>
    </row>
    <row r="5" spans="1:5" x14ac:dyDescent="0.25">
      <c r="A5">
        <f>10*A4</f>
        <v>100</v>
      </c>
      <c r="B5">
        <f t="shared" si="0"/>
        <v>2</v>
      </c>
      <c r="C5" s="1">
        <v>2.7E-10</v>
      </c>
      <c r="D5" s="1">
        <v>4.5E-10</v>
      </c>
      <c r="E5" s="1">
        <v>9.7999999999999992E-10</v>
      </c>
    </row>
    <row r="6" spans="1:5" x14ac:dyDescent="0.25">
      <c r="A6">
        <f>10*A5</f>
        <v>1000</v>
      </c>
      <c r="B6">
        <f t="shared" si="0"/>
        <v>3</v>
      </c>
      <c r="C6" s="1">
        <v>3E-10</v>
      </c>
      <c r="D6" s="1">
        <v>6.3E-10</v>
      </c>
      <c r="E6" s="1">
        <v>1.6000000000000001E-9</v>
      </c>
    </row>
    <row r="7" spans="1:5" x14ac:dyDescent="0.25">
      <c r="A7">
        <f>10*A6</f>
        <v>10000</v>
      </c>
      <c r="B7">
        <f t="shared" si="0"/>
        <v>4</v>
      </c>
      <c r="C7" s="1">
        <v>4.0000000000000001E-10</v>
      </c>
      <c r="D7" s="1">
        <v>9.6999999999999996E-10</v>
      </c>
      <c r="E7" s="1">
        <v>2.8999999999999999E-9</v>
      </c>
    </row>
    <row r="8" spans="1:5" x14ac:dyDescent="0.25">
      <c r="A8">
        <f>10*A7</f>
        <v>100000</v>
      </c>
      <c r="B8">
        <f t="shared" si="0"/>
        <v>5</v>
      </c>
      <c r="C8" s="1">
        <v>6.5000000000000003E-10</v>
      </c>
      <c r="D8" s="1">
        <v>1.6000000000000001E-9</v>
      </c>
      <c r="E8" s="1">
        <v>5.4999999999999996E-9</v>
      </c>
    </row>
    <row r="9" spans="1:5" x14ac:dyDescent="0.25">
      <c r="A9">
        <v>1000000</v>
      </c>
      <c r="B9">
        <f t="shared" si="0"/>
        <v>6</v>
      </c>
      <c r="C9" s="1">
        <f>C22</f>
        <v>1.07108E-9</v>
      </c>
      <c r="D9" s="1">
        <f>D22</f>
        <v>2.5677999999999998E-9</v>
      </c>
      <c r="E9" s="1"/>
    </row>
    <row r="11" spans="1:5" ht="13" thickBot="1" x14ac:dyDescent="0.3">
      <c r="A11" t="s">
        <v>3</v>
      </c>
      <c r="C11" t="s">
        <v>4</v>
      </c>
    </row>
    <row r="12" spans="1:5" ht="13.5" thickBot="1" x14ac:dyDescent="0.35">
      <c r="A12" s="2">
        <v>1</v>
      </c>
      <c r="B12">
        <f>LOG10(A12)</f>
        <v>0</v>
      </c>
      <c r="C12" s="5">
        <f>0.00000000000833*$B12^3-0.0000000000346*$B12^2+0.0000000000449*$B12+0.000000000248</f>
        <v>2.4800000000000002E-10</v>
      </c>
      <c r="D12" s="5">
        <f>0.000000000014*$B12^3-0.0000000000361*$B12^2+0.0000000000909*$B12+0.000000000298</f>
        <v>2.98E-10</v>
      </c>
      <c r="E12" s="5">
        <f>0.0000000000639*$B12^3-0.000000000195*$B12^2+0.000000000383*$B12+0.000000000442</f>
        <v>4.4200000000000002E-10</v>
      </c>
    </row>
    <row r="13" spans="1:5" x14ac:dyDescent="0.25">
      <c r="C13" s="1">
        <v>2.6664268638354399E-8</v>
      </c>
      <c r="D13" s="1">
        <v>2.6662851888108501E-8</v>
      </c>
      <c r="E13" s="5">
        <f>D13-C13</f>
        <v>-1.4167502458984408E-12</v>
      </c>
    </row>
    <row r="14" spans="1:5" x14ac:dyDescent="0.25">
      <c r="C14">
        <v>2.4800000000000002E-10</v>
      </c>
      <c r="D14">
        <f>C14*70</f>
        <v>1.7360000000000001E-8</v>
      </c>
      <c r="E14" s="7">
        <f>(E13+D14)*10^6</f>
        <v>1.7358583249754103E-2</v>
      </c>
    </row>
    <row r="16" spans="1:5" x14ac:dyDescent="0.25">
      <c r="A16">
        <v>1</v>
      </c>
      <c r="B16">
        <f t="shared" ref="B16:B22" si="1">LOG10(A16)</f>
        <v>0</v>
      </c>
      <c r="C16" s="4">
        <f t="shared" ref="C16:C22" si="2">0.00000000000833*$B16^3-0.0000000000346*$B16^2+0.0000000000449*$B16+0.000000000248</f>
        <v>2.4800000000000002E-10</v>
      </c>
      <c r="D16" s="4">
        <f t="shared" ref="D16:D22" si="3">0.000000000014*$B16^3-0.0000000000361*$B16^2+0.0000000000909*$B16+0.000000000298</f>
        <v>2.98E-10</v>
      </c>
      <c r="E16" s="4">
        <f t="shared" ref="E16:E21" si="4">0.0000000000639*$B16^3-0.000000000195*$B16^2+0.000000000383*$B16+0.000000000442</f>
        <v>4.4200000000000002E-10</v>
      </c>
    </row>
    <row r="17" spans="1:9" x14ac:dyDescent="0.25">
      <c r="A17">
        <f>10*A16</f>
        <v>10</v>
      </c>
      <c r="B17">
        <f t="shared" si="1"/>
        <v>1</v>
      </c>
      <c r="C17" s="4">
        <f t="shared" si="2"/>
        <v>2.6663000000000004E-10</v>
      </c>
      <c r="D17" s="4">
        <f t="shared" si="3"/>
        <v>3.6680000000000002E-10</v>
      </c>
      <c r="E17" s="4">
        <f t="shared" si="4"/>
        <v>6.9390000000000005E-10</v>
      </c>
    </row>
    <row r="18" spans="1:9" x14ac:dyDescent="0.25">
      <c r="A18">
        <f>10*A17</f>
        <v>100</v>
      </c>
      <c r="B18">
        <f t="shared" si="1"/>
        <v>2</v>
      </c>
      <c r="C18" s="4">
        <f t="shared" si="2"/>
        <v>2.6604000000000004E-10</v>
      </c>
      <c r="D18" s="4">
        <f t="shared" si="3"/>
        <v>4.4740000000000003E-10</v>
      </c>
      <c r="E18" s="4">
        <f t="shared" si="4"/>
        <v>9.3920000000000002E-10</v>
      </c>
    </row>
    <row r="19" spans="1:9" x14ac:dyDescent="0.25">
      <c r="A19">
        <f>10*A18</f>
        <v>1000</v>
      </c>
      <c r="B19">
        <f t="shared" si="1"/>
        <v>3</v>
      </c>
      <c r="C19" s="4">
        <f t="shared" si="2"/>
        <v>2.9621E-10</v>
      </c>
      <c r="D19" s="4">
        <f t="shared" si="3"/>
        <v>6.2380000000000006E-10</v>
      </c>
      <c r="E19" s="4">
        <f t="shared" si="4"/>
        <v>1.5613E-9</v>
      </c>
    </row>
    <row r="20" spans="1:9" x14ac:dyDescent="0.25">
      <c r="A20">
        <f>10*A19</f>
        <v>10000</v>
      </c>
      <c r="B20">
        <f t="shared" si="1"/>
        <v>4</v>
      </c>
      <c r="C20" s="4">
        <f t="shared" si="2"/>
        <v>4.0712000000000004E-10</v>
      </c>
      <c r="D20" s="4">
        <f t="shared" si="3"/>
        <v>9.8000000000000013E-10</v>
      </c>
      <c r="E20" s="4">
        <f t="shared" si="4"/>
        <v>2.9435999999999996E-9</v>
      </c>
    </row>
    <row r="21" spans="1:9" x14ac:dyDescent="0.25">
      <c r="A21">
        <f>10*A20</f>
        <v>100000</v>
      </c>
      <c r="B21">
        <f t="shared" si="1"/>
        <v>5</v>
      </c>
      <c r="C21" s="4">
        <f t="shared" si="2"/>
        <v>6.4875000000000006E-10</v>
      </c>
      <c r="D21" s="4">
        <f t="shared" si="3"/>
        <v>1.6000000000000001E-9</v>
      </c>
      <c r="E21" s="4">
        <f t="shared" si="4"/>
        <v>5.4694999999999998E-9</v>
      </c>
    </row>
    <row r="22" spans="1:9" x14ac:dyDescent="0.25">
      <c r="A22">
        <v>1000000</v>
      </c>
      <c r="B22">
        <f t="shared" si="1"/>
        <v>6</v>
      </c>
      <c r="C22" s="4">
        <f t="shared" si="2"/>
        <v>1.07108E-9</v>
      </c>
      <c r="D22" s="4">
        <f t="shared" si="3"/>
        <v>2.5677999999999998E-9</v>
      </c>
      <c r="E22" s="4"/>
    </row>
    <row r="24" spans="1:9" x14ac:dyDescent="0.25">
      <c r="A24">
        <v>1</v>
      </c>
      <c r="B24">
        <f t="shared" ref="B24:B29" si="5">LOG10(A24)</f>
        <v>0</v>
      </c>
      <c r="C24" s="3">
        <f t="shared" ref="C24:E29" si="6">(1-C16/C3)</f>
        <v>8.0000000000000071E-3</v>
      </c>
      <c r="D24" s="3">
        <f t="shared" si="6"/>
        <v>6.6666666666665986E-3</v>
      </c>
      <c r="E24" s="3">
        <f t="shared" si="6"/>
        <v>3.9130434782608692E-2</v>
      </c>
    </row>
    <row r="25" spans="1:9" x14ac:dyDescent="0.25">
      <c r="A25">
        <f>10*A24</f>
        <v>10</v>
      </c>
      <c r="B25">
        <f t="shared" si="5"/>
        <v>1</v>
      </c>
      <c r="C25" s="3">
        <f t="shared" si="6"/>
        <v>-2.55000000000003E-2</v>
      </c>
      <c r="D25" s="3">
        <f t="shared" si="6"/>
        <v>-1.8888888888888955E-2</v>
      </c>
      <c r="E25" s="3">
        <f t="shared" si="6"/>
        <v>-8.4218750000000231E-2</v>
      </c>
    </row>
    <row r="26" spans="1:9" x14ac:dyDescent="0.25">
      <c r="A26">
        <f>10*A25</f>
        <v>100</v>
      </c>
      <c r="B26">
        <f t="shared" si="5"/>
        <v>2</v>
      </c>
      <c r="C26" s="3">
        <f t="shared" si="6"/>
        <v>1.4666666666666495E-2</v>
      </c>
      <c r="D26" s="3">
        <f t="shared" si="6"/>
        <v>5.7777777777776596E-3</v>
      </c>
      <c r="E26" s="3">
        <f t="shared" si="6"/>
        <v>4.1632653061224434E-2</v>
      </c>
    </row>
    <row r="27" spans="1:9" x14ac:dyDescent="0.25">
      <c r="A27">
        <f>10*A26</f>
        <v>1000</v>
      </c>
      <c r="B27">
        <f t="shared" si="5"/>
        <v>3</v>
      </c>
      <c r="C27" s="3">
        <f t="shared" si="6"/>
        <v>1.2633333333333274E-2</v>
      </c>
      <c r="D27" s="3">
        <f t="shared" si="6"/>
        <v>9.8412698412697619E-3</v>
      </c>
      <c r="E27" s="3">
        <f t="shared" si="6"/>
        <v>2.4187500000000028E-2</v>
      </c>
    </row>
    <row r="28" spans="1:9" x14ac:dyDescent="0.25">
      <c r="A28">
        <f>10*A27</f>
        <v>10000</v>
      </c>
      <c r="B28">
        <f t="shared" si="5"/>
        <v>4</v>
      </c>
      <c r="C28" s="3">
        <f t="shared" si="6"/>
        <v>-1.7800000000000038E-2</v>
      </c>
      <c r="D28" s="3">
        <f t="shared" si="6"/>
        <v>-1.0309278350515649E-2</v>
      </c>
      <c r="E28" s="3">
        <f t="shared" si="6"/>
        <v>-1.5034482758620626E-2</v>
      </c>
    </row>
    <row r="29" spans="1:9" x14ac:dyDescent="0.25">
      <c r="A29">
        <f>10*A28</f>
        <v>100000</v>
      </c>
      <c r="B29">
        <f t="shared" si="5"/>
        <v>5</v>
      </c>
      <c r="C29" s="3">
        <f t="shared" si="6"/>
        <v>1.9230769230769162E-3</v>
      </c>
      <c r="D29" s="3">
        <f t="shared" si="6"/>
        <v>0</v>
      </c>
      <c r="E29" s="3">
        <f t="shared" si="6"/>
        <v>5.5454545454545201E-3</v>
      </c>
    </row>
    <row r="30" spans="1:9" x14ac:dyDescent="0.25">
      <c r="C30" s="3"/>
      <c r="D30" s="3"/>
      <c r="E30" s="3"/>
    </row>
    <row r="31" spans="1:9" x14ac:dyDescent="0.25">
      <c r="A31" t="s">
        <v>0</v>
      </c>
      <c r="C31" t="s">
        <v>2</v>
      </c>
      <c r="G31" t="s">
        <v>2</v>
      </c>
      <c r="I31" t="s">
        <v>6</v>
      </c>
    </row>
    <row r="32" spans="1:9" x14ac:dyDescent="0.25">
      <c r="A32" t="s">
        <v>1</v>
      </c>
      <c r="B32" t="s">
        <v>5</v>
      </c>
      <c r="C32">
        <v>23</v>
      </c>
      <c r="D32">
        <v>40</v>
      </c>
      <c r="E32">
        <v>60</v>
      </c>
      <c r="G32">
        <v>23</v>
      </c>
      <c r="H32">
        <v>40</v>
      </c>
      <c r="I32">
        <v>60</v>
      </c>
    </row>
    <row r="33" spans="1:9" x14ac:dyDescent="0.25">
      <c r="A33">
        <v>1</v>
      </c>
      <c r="B33">
        <f t="shared" ref="B33:B38" si="7">LOG10(A33)</f>
        <v>0</v>
      </c>
      <c r="C33" s="1">
        <f t="shared" ref="C33:E38" si="8">1/C3</f>
        <v>3999999999.9999995</v>
      </c>
      <c r="D33" s="1">
        <f t="shared" si="8"/>
        <v>3333333333.3333335</v>
      </c>
      <c r="E33" s="1">
        <f t="shared" si="8"/>
        <v>2173913043.478261</v>
      </c>
      <c r="G33" s="6">
        <f t="shared" ref="G33:G38" si="9">C33/1000000</f>
        <v>3999.9999999999995</v>
      </c>
      <c r="H33" s="6">
        <f t="shared" ref="H33:H38" si="10">D33/1000000</f>
        <v>3333.3333333333335</v>
      </c>
      <c r="I33" s="6">
        <f t="shared" ref="I33:I38" si="11">E33/1000000</f>
        <v>2173.913043478261</v>
      </c>
    </row>
    <row r="34" spans="1:9" x14ac:dyDescent="0.25">
      <c r="A34">
        <f>10*A33</f>
        <v>10</v>
      </c>
      <c r="B34">
        <f t="shared" si="7"/>
        <v>1</v>
      </c>
      <c r="C34" s="1">
        <f t="shared" si="8"/>
        <v>3846153846.1538463</v>
      </c>
      <c r="D34" s="1">
        <f t="shared" si="8"/>
        <v>2777777777.7777777</v>
      </c>
      <c r="E34" s="1">
        <f t="shared" si="8"/>
        <v>1562500000</v>
      </c>
      <c r="G34" s="6">
        <f t="shared" si="9"/>
        <v>3846.1538461538462</v>
      </c>
      <c r="H34" s="6">
        <f t="shared" si="10"/>
        <v>2777.7777777777778</v>
      </c>
      <c r="I34" s="6">
        <f t="shared" si="11"/>
        <v>1562.5</v>
      </c>
    </row>
    <row r="35" spans="1:9" x14ac:dyDescent="0.25">
      <c r="A35">
        <f>10*A34</f>
        <v>100</v>
      </c>
      <c r="B35">
        <f t="shared" si="7"/>
        <v>2</v>
      </c>
      <c r="C35" s="1">
        <f t="shared" si="8"/>
        <v>3703703703.7037039</v>
      </c>
      <c r="D35" s="1">
        <f t="shared" si="8"/>
        <v>2222222222.2222223</v>
      </c>
      <c r="E35" s="1">
        <f t="shared" si="8"/>
        <v>1020408163.2653062</v>
      </c>
      <c r="G35" s="6">
        <f t="shared" si="9"/>
        <v>3703.7037037037039</v>
      </c>
      <c r="H35" s="6">
        <f t="shared" si="10"/>
        <v>2222.2222222222222</v>
      </c>
      <c r="I35" s="6">
        <f t="shared" si="11"/>
        <v>1020.4081632653063</v>
      </c>
    </row>
    <row r="36" spans="1:9" x14ac:dyDescent="0.25">
      <c r="A36">
        <f>10*A35</f>
        <v>1000</v>
      </c>
      <c r="B36">
        <f t="shared" si="7"/>
        <v>3</v>
      </c>
      <c r="C36" s="1">
        <f t="shared" si="8"/>
        <v>3333333333.3333335</v>
      </c>
      <c r="D36" s="1">
        <f t="shared" si="8"/>
        <v>1587301587.3015873</v>
      </c>
      <c r="E36" s="1">
        <f t="shared" si="8"/>
        <v>625000000</v>
      </c>
      <c r="G36" s="6">
        <f t="shared" si="9"/>
        <v>3333.3333333333335</v>
      </c>
      <c r="H36" s="6">
        <f t="shared" si="10"/>
        <v>1587.3015873015872</v>
      </c>
      <c r="I36" s="6">
        <f t="shared" si="11"/>
        <v>625</v>
      </c>
    </row>
    <row r="37" spans="1:9" x14ac:dyDescent="0.25">
      <c r="A37">
        <f>10*A36</f>
        <v>10000</v>
      </c>
      <c r="B37">
        <f t="shared" si="7"/>
        <v>4</v>
      </c>
      <c r="C37" s="1">
        <f>1/C7</f>
        <v>2500000000</v>
      </c>
      <c r="D37" s="1">
        <f t="shared" si="8"/>
        <v>1030927835.0515465</v>
      </c>
      <c r="E37" s="1">
        <f t="shared" si="8"/>
        <v>344827586.20689654</v>
      </c>
      <c r="G37" s="6">
        <f t="shared" si="9"/>
        <v>2500</v>
      </c>
      <c r="H37" s="6">
        <f t="shared" si="10"/>
        <v>1030.9278350515465</v>
      </c>
      <c r="I37" s="6">
        <f t="shared" si="11"/>
        <v>344.82758620689657</v>
      </c>
    </row>
    <row r="38" spans="1:9" x14ac:dyDescent="0.25">
      <c r="A38">
        <f>10*A37</f>
        <v>100000</v>
      </c>
      <c r="B38">
        <f t="shared" si="7"/>
        <v>5</v>
      </c>
      <c r="C38" s="1">
        <f t="shared" si="8"/>
        <v>1538461538.4615383</v>
      </c>
      <c r="D38" s="1">
        <f t="shared" si="8"/>
        <v>625000000</v>
      </c>
      <c r="E38" s="1">
        <f t="shared" si="8"/>
        <v>181818181.81818184</v>
      </c>
      <c r="G38" s="6">
        <f t="shared" si="9"/>
        <v>1538.4615384615383</v>
      </c>
      <c r="H38" s="6">
        <f t="shared" si="10"/>
        <v>625</v>
      </c>
      <c r="I38" s="6">
        <f t="shared" si="11"/>
        <v>181.81818181818184</v>
      </c>
    </row>
    <row r="40" spans="1:9" x14ac:dyDescent="0.25">
      <c r="A40" t="s">
        <v>0</v>
      </c>
      <c r="C40" t="s">
        <v>2</v>
      </c>
    </row>
    <row r="41" spans="1:9" x14ac:dyDescent="0.25">
      <c r="A41" t="s">
        <v>1</v>
      </c>
      <c r="B41" t="s">
        <v>6</v>
      </c>
      <c r="C41">
        <v>23</v>
      </c>
      <c r="D41">
        <v>40</v>
      </c>
      <c r="E41">
        <v>60</v>
      </c>
    </row>
    <row r="42" spans="1:9" x14ac:dyDescent="0.25">
      <c r="A42">
        <v>1</v>
      </c>
      <c r="B42">
        <f t="shared" ref="B42:B47" si="12">LOG10(A42)</f>
        <v>0</v>
      </c>
      <c r="C42" s="6">
        <f t="shared" ref="C42:E47" si="13">C33/1000000</f>
        <v>3999.9999999999995</v>
      </c>
      <c r="D42" s="6">
        <f t="shared" si="13"/>
        <v>3333.3333333333335</v>
      </c>
      <c r="E42" s="6">
        <f t="shared" si="13"/>
        <v>2173.913043478261</v>
      </c>
    </row>
    <row r="43" spans="1:9" x14ac:dyDescent="0.25">
      <c r="A43">
        <f>10*A42</f>
        <v>10</v>
      </c>
      <c r="B43">
        <f t="shared" si="12"/>
        <v>1</v>
      </c>
      <c r="C43" s="6">
        <f t="shared" si="13"/>
        <v>3846.1538461538462</v>
      </c>
      <c r="D43" s="6">
        <f t="shared" si="13"/>
        <v>2777.7777777777778</v>
      </c>
      <c r="E43" s="6">
        <f t="shared" si="13"/>
        <v>1562.5</v>
      </c>
    </row>
    <row r="44" spans="1:9" x14ac:dyDescent="0.25">
      <c r="A44">
        <f>10*A43</f>
        <v>100</v>
      </c>
      <c r="B44">
        <f t="shared" si="12"/>
        <v>2</v>
      </c>
      <c r="C44" s="6">
        <f t="shared" si="13"/>
        <v>3703.7037037037039</v>
      </c>
      <c r="D44" s="6">
        <f t="shared" si="13"/>
        <v>2222.2222222222222</v>
      </c>
      <c r="E44" s="6">
        <f t="shared" si="13"/>
        <v>1020.4081632653063</v>
      </c>
    </row>
    <row r="45" spans="1:9" x14ac:dyDescent="0.25">
      <c r="A45">
        <f>10*A44</f>
        <v>1000</v>
      </c>
      <c r="B45">
        <f t="shared" si="12"/>
        <v>3</v>
      </c>
      <c r="C45" s="6">
        <f t="shared" si="13"/>
        <v>3333.3333333333335</v>
      </c>
      <c r="D45" s="6">
        <f t="shared" si="13"/>
        <v>1587.3015873015872</v>
      </c>
      <c r="E45" s="6">
        <f t="shared" si="13"/>
        <v>625</v>
      </c>
    </row>
    <row r="46" spans="1:9" x14ac:dyDescent="0.25">
      <c r="A46">
        <f>10*A45</f>
        <v>10000</v>
      </c>
      <c r="B46">
        <f t="shared" si="12"/>
        <v>4</v>
      </c>
      <c r="C46" s="6">
        <f t="shared" si="13"/>
        <v>2500</v>
      </c>
      <c r="D46" s="6">
        <f t="shared" si="13"/>
        <v>1030.9278350515465</v>
      </c>
      <c r="E46" s="6">
        <f t="shared" si="13"/>
        <v>344.82758620689657</v>
      </c>
    </row>
    <row r="47" spans="1:9" x14ac:dyDescent="0.25">
      <c r="A47">
        <f>10*A46</f>
        <v>100000</v>
      </c>
      <c r="B47">
        <f t="shared" si="12"/>
        <v>5</v>
      </c>
      <c r="C47" s="6">
        <f t="shared" si="13"/>
        <v>1538.4615384615383</v>
      </c>
      <c r="D47" s="6">
        <f t="shared" si="13"/>
        <v>625</v>
      </c>
      <c r="E47" s="6">
        <f t="shared" si="13"/>
        <v>181.81818181818184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7"/>
  <sheetViews>
    <sheetView zoomScale="70" workbookViewId="0"/>
  </sheetViews>
  <sheetFormatPr defaultRowHeight="12.5" x14ac:dyDescent="0.25"/>
  <cols>
    <col min="2" max="2" width="8.453125" customWidth="1"/>
    <col min="3" max="4" width="11.453125" bestFit="1" customWidth="1"/>
    <col min="5" max="5" width="11.54296875" bestFit="1" customWidth="1"/>
  </cols>
  <sheetData>
    <row r="1" spans="1:5" x14ac:dyDescent="0.25">
      <c r="A1" t="s">
        <v>0</v>
      </c>
      <c r="C1" t="s">
        <v>2</v>
      </c>
    </row>
    <row r="2" spans="1:5" x14ac:dyDescent="0.25">
      <c r="A2" t="s">
        <v>1</v>
      </c>
      <c r="C2">
        <v>23</v>
      </c>
      <c r="D2">
        <v>40</v>
      </c>
      <c r="E2">
        <v>60</v>
      </c>
    </row>
    <row r="3" spans="1:5" x14ac:dyDescent="0.25">
      <c r="A3">
        <v>1</v>
      </c>
      <c r="B3">
        <f t="shared" ref="B3:B8" si="0">LOG10(A3)</f>
        <v>0</v>
      </c>
      <c r="C3" s="1">
        <v>4000</v>
      </c>
      <c r="D3" s="1">
        <v>3333.3333333333335</v>
      </c>
      <c r="E3" s="1">
        <v>2173.913043478261</v>
      </c>
    </row>
    <row r="4" spans="1:5" x14ac:dyDescent="0.25">
      <c r="A4">
        <f>10*A3</f>
        <v>10</v>
      </c>
      <c r="B4">
        <f t="shared" si="0"/>
        <v>1</v>
      </c>
      <c r="C4" s="1">
        <v>3846.1538461538462</v>
      </c>
      <c r="D4" s="1">
        <v>2777.7777777777778</v>
      </c>
      <c r="E4" s="1">
        <v>1562.5</v>
      </c>
    </row>
    <row r="5" spans="1:5" x14ac:dyDescent="0.25">
      <c r="A5">
        <f>10*A4</f>
        <v>100</v>
      </c>
      <c r="B5">
        <f t="shared" si="0"/>
        <v>2</v>
      </c>
      <c r="C5" s="1">
        <v>3703.7037037037039</v>
      </c>
      <c r="D5" s="1">
        <v>2222.2222222222222</v>
      </c>
      <c r="E5" s="1">
        <v>1020.4081632653063</v>
      </c>
    </row>
    <row r="6" spans="1:5" x14ac:dyDescent="0.25">
      <c r="A6">
        <f>10*A5</f>
        <v>1000</v>
      </c>
      <c r="B6">
        <f t="shared" si="0"/>
        <v>3</v>
      </c>
      <c r="C6" s="1">
        <v>3333.3333333333335</v>
      </c>
      <c r="D6" s="1">
        <v>1587.3015873015872</v>
      </c>
      <c r="E6" s="1">
        <v>625</v>
      </c>
    </row>
    <row r="7" spans="1:5" x14ac:dyDescent="0.25">
      <c r="A7">
        <f>10*A6</f>
        <v>10000</v>
      </c>
      <c r="B7">
        <f t="shared" si="0"/>
        <v>4</v>
      </c>
      <c r="C7" s="1">
        <v>2500</v>
      </c>
      <c r="D7" s="1">
        <v>1030.9278350515465</v>
      </c>
      <c r="E7" s="1">
        <v>344.82758620689657</v>
      </c>
    </row>
    <row r="8" spans="1:5" x14ac:dyDescent="0.25">
      <c r="A8">
        <f>10*A7</f>
        <v>100000</v>
      </c>
      <c r="B8">
        <f t="shared" si="0"/>
        <v>5</v>
      </c>
      <c r="C8" s="1">
        <v>1538.4615384615383</v>
      </c>
      <c r="D8" s="1">
        <v>625</v>
      </c>
      <c r="E8" s="1">
        <v>181.81818181818184</v>
      </c>
    </row>
    <row r="9" spans="1:5" x14ac:dyDescent="0.25">
      <c r="C9" s="1"/>
      <c r="D9" s="1"/>
      <c r="E9" s="1"/>
    </row>
    <row r="11" spans="1:5" ht="13" thickBot="1" x14ac:dyDescent="0.3">
      <c r="A11" t="s">
        <v>3</v>
      </c>
      <c r="C11" t="s">
        <v>4</v>
      </c>
    </row>
    <row r="12" spans="1:5" ht="13.5" thickBot="1" x14ac:dyDescent="0.35">
      <c r="A12" s="2">
        <v>1</v>
      </c>
      <c r="B12">
        <f>LOG10(A12)</f>
        <v>0</v>
      </c>
      <c r="C12" s="5">
        <f>0.00000000000833*$B12^3-0.0000000000346*$B12^2+0.0000000000449*$B12+0.000000000248</f>
        <v>2.4800000000000002E-10</v>
      </c>
      <c r="D12" s="5">
        <f>0.000000000014*$B12^3-0.0000000000361*$B12^2+0.0000000000909*$B12+0.000000000298</f>
        <v>2.98E-10</v>
      </c>
      <c r="E12" s="5">
        <f>0.0000000000639*$B12^3-0.000000000195*$B12^2+0.000000000383*$B12+0.000000000442</f>
        <v>4.4200000000000002E-10</v>
      </c>
    </row>
    <row r="13" spans="1:5" x14ac:dyDescent="0.25">
      <c r="C13" s="1">
        <v>2.6664268638354399E-8</v>
      </c>
      <c r="D13" s="1">
        <v>2.6662851888108501E-8</v>
      </c>
      <c r="E13" s="5">
        <f>D13-C13</f>
        <v>-1.4167502458984408E-12</v>
      </c>
    </row>
    <row r="14" spans="1:5" x14ac:dyDescent="0.25">
      <c r="C14">
        <v>2.4800000000000002E-10</v>
      </c>
      <c r="D14">
        <f>C14*70</f>
        <v>1.7360000000000001E-8</v>
      </c>
      <c r="E14" s="7">
        <f>(E13+D14)*10^6</f>
        <v>1.7358583249754103E-2</v>
      </c>
    </row>
    <row r="16" spans="1:5" x14ac:dyDescent="0.25">
      <c r="A16">
        <v>1</v>
      </c>
      <c r="B16">
        <f t="shared" ref="B16:B22" si="1">LOG10(A16)</f>
        <v>0</v>
      </c>
      <c r="C16" s="4">
        <f t="shared" ref="C16:C22" si="2">0.00000000000833*$B16^3-0.0000000000346*$B16^2+0.0000000000449*$B16+0.000000000248</f>
        <v>2.4800000000000002E-10</v>
      </c>
      <c r="D16" s="4">
        <f t="shared" ref="D16:D22" si="3">0.000000000014*$B16^3-0.0000000000361*$B16^2+0.0000000000909*$B16+0.000000000298</f>
        <v>2.98E-10</v>
      </c>
      <c r="E16" s="4">
        <f t="shared" ref="E16:E21" si="4">0.0000000000639*$B16^3-0.000000000195*$B16^2+0.000000000383*$B16+0.000000000442</f>
        <v>4.4200000000000002E-10</v>
      </c>
    </row>
    <row r="17" spans="1:5" x14ac:dyDescent="0.25">
      <c r="A17">
        <f>10*A16</f>
        <v>10</v>
      </c>
      <c r="B17">
        <f t="shared" si="1"/>
        <v>1</v>
      </c>
      <c r="C17" s="4">
        <f t="shared" si="2"/>
        <v>2.6663000000000004E-10</v>
      </c>
      <c r="D17" s="4">
        <f t="shared" si="3"/>
        <v>3.6680000000000002E-10</v>
      </c>
      <c r="E17" s="4">
        <f t="shared" si="4"/>
        <v>6.9390000000000005E-10</v>
      </c>
    </row>
    <row r="18" spans="1:5" x14ac:dyDescent="0.25">
      <c r="A18">
        <f>10*A17</f>
        <v>100</v>
      </c>
      <c r="B18">
        <f t="shared" si="1"/>
        <v>2</v>
      </c>
      <c r="C18" s="4">
        <f t="shared" si="2"/>
        <v>2.6604000000000004E-10</v>
      </c>
      <c r="D18" s="4">
        <f t="shared" si="3"/>
        <v>4.4740000000000003E-10</v>
      </c>
      <c r="E18" s="4">
        <f t="shared" si="4"/>
        <v>9.3920000000000002E-10</v>
      </c>
    </row>
    <row r="19" spans="1:5" x14ac:dyDescent="0.25">
      <c r="A19">
        <f>10*A18</f>
        <v>1000</v>
      </c>
      <c r="B19">
        <f t="shared" si="1"/>
        <v>3</v>
      </c>
      <c r="C19" s="4">
        <f t="shared" si="2"/>
        <v>2.9621E-10</v>
      </c>
      <c r="D19" s="4">
        <f t="shared" si="3"/>
        <v>6.2380000000000006E-10</v>
      </c>
      <c r="E19" s="4">
        <f t="shared" si="4"/>
        <v>1.5613E-9</v>
      </c>
    </row>
    <row r="20" spans="1:5" x14ac:dyDescent="0.25">
      <c r="A20">
        <f>10*A19</f>
        <v>10000</v>
      </c>
      <c r="B20">
        <f t="shared" si="1"/>
        <v>4</v>
      </c>
      <c r="C20" s="4">
        <f t="shared" si="2"/>
        <v>4.0712000000000004E-10</v>
      </c>
      <c r="D20" s="4">
        <f t="shared" si="3"/>
        <v>9.8000000000000013E-10</v>
      </c>
      <c r="E20" s="4">
        <f t="shared" si="4"/>
        <v>2.9435999999999996E-9</v>
      </c>
    </row>
    <row r="21" spans="1:5" x14ac:dyDescent="0.25">
      <c r="A21">
        <f>10*A20</f>
        <v>100000</v>
      </c>
      <c r="B21">
        <f t="shared" si="1"/>
        <v>5</v>
      </c>
      <c r="C21" s="4">
        <f t="shared" si="2"/>
        <v>6.4875000000000006E-10</v>
      </c>
      <c r="D21" s="4">
        <f t="shared" si="3"/>
        <v>1.6000000000000001E-9</v>
      </c>
      <c r="E21" s="4">
        <f t="shared" si="4"/>
        <v>5.4694999999999998E-9</v>
      </c>
    </row>
    <row r="22" spans="1:5" x14ac:dyDescent="0.25">
      <c r="A22">
        <v>1000000</v>
      </c>
      <c r="B22">
        <f t="shared" si="1"/>
        <v>6</v>
      </c>
      <c r="C22" s="4">
        <f t="shared" si="2"/>
        <v>1.07108E-9</v>
      </c>
      <c r="D22" s="4">
        <f t="shared" si="3"/>
        <v>2.5677999999999998E-9</v>
      </c>
      <c r="E22" s="4"/>
    </row>
    <row r="24" spans="1:5" x14ac:dyDescent="0.25">
      <c r="A24">
        <v>1</v>
      </c>
      <c r="B24">
        <f t="shared" ref="B24:B29" si="5">LOG10(A24)</f>
        <v>0</v>
      </c>
      <c r="C24" s="3">
        <f t="shared" ref="C24:E29" si="6">(1-C16/C3)</f>
        <v>0.99999999999993805</v>
      </c>
      <c r="D24" s="3">
        <f t="shared" si="6"/>
        <v>0.99999999999991063</v>
      </c>
      <c r="E24" s="3">
        <f t="shared" si="6"/>
        <v>0.99999999999979672</v>
      </c>
    </row>
    <row r="25" spans="1:5" x14ac:dyDescent="0.25">
      <c r="A25">
        <f>10*A24</f>
        <v>10</v>
      </c>
      <c r="B25">
        <f t="shared" si="5"/>
        <v>1</v>
      </c>
      <c r="C25" s="3">
        <f t="shared" si="6"/>
        <v>0.99999999999993072</v>
      </c>
      <c r="D25" s="3">
        <f t="shared" si="6"/>
        <v>0.99999999999986799</v>
      </c>
      <c r="E25" s="3">
        <f t="shared" si="6"/>
        <v>0.99999999999955591</v>
      </c>
    </row>
    <row r="26" spans="1:5" x14ac:dyDescent="0.25">
      <c r="A26">
        <f>10*A25</f>
        <v>100</v>
      </c>
      <c r="B26">
        <f t="shared" si="5"/>
        <v>2</v>
      </c>
      <c r="C26" s="3">
        <f t="shared" si="6"/>
        <v>0.99999999999992817</v>
      </c>
      <c r="D26" s="3">
        <f t="shared" si="6"/>
        <v>0.99999999999979872</v>
      </c>
      <c r="E26" s="3">
        <f t="shared" si="6"/>
        <v>0.99999999999907963</v>
      </c>
    </row>
    <row r="27" spans="1:5" x14ac:dyDescent="0.25">
      <c r="A27">
        <f>10*A26</f>
        <v>1000</v>
      </c>
      <c r="B27">
        <f t="shared" si="5"/>
        <v>3</v>
      </c>
      <c r="C27" s="3">
        <f t="shared" si="6"/>
        <v>0.99999999999991118</v>
      </c>
      <c r="D27" s="3">
        <f t="shared" si="6"/>
        <v>0.99999999999960698</v>
      </c>
      <c r="E27" s="3">
        <f t="shared" si="6"/>
        <v>0.99999999999750189</v>
      </c>
    </row>
    <row r="28" spans="1:5" x14ac:dyDescent="0.25">
      <c r="A28">
        <f>10*A27</f>
        <v>10000</v>
      </c>
      <c r="B28">
        <f t="shared" si="5"/>
        <v>4</v>
      </c>
      <c r="C28" s="3">
        <f t="shared" si="6"/>
        <v>0.99999999999983713</v>
      </c>
      <c r="D28" s="3">
        <f t="shared" si="6"/>
        <v>0.99999999999904943</v>
      </c>
      <c r="E28" s="3">
        <f t="shared" si="6"/>
        <v>0.99999999999146361</v>
      </c>
    </row>
    <row r="29" spans="1:5" x14ac:dyDescent="0.25">
      <c r="A29">
        <f>10*A28</f>
        <v>100000</v>
      </c>
      <c r="B29">
        <f t="shared" si="5"/>
        <v>5</v>
      </c>
      <c r="C29" s="3">
        <f t="shared" si="6"/>
        <v>0.99999999999957834</v>
      </c>
      <c r="D29" s="3">
        <f t="shared" si="6"/>
        <v>0.99999999999744005</v>
      </c>
      <c r="E29" s="3">
        <f t="shared" si="6"/>
        <v>0.99999999996991773</v>
      </c>
    </row>
    <row r="30" spans="1:5" x14ac:dyDescent="0.25">
      <c r="C30" s="3"/>
      <c r="D30" s="3"/>
      <c r="E30" s="3"/>
    </row>
    <row r="31" spans="1:5" x14ac:dyDescent="0.25">
      <c r="A31" t="s">
        <v>0</v>
      </c>
      <c r="C31" t="s">
        <v>2</v>
      </c>
    </row>
    <row r="32" spans="1:5" x14ac:dyDescent="0.25">
      <c r="A32" t="s">
        <v>1</v>
      </c>
      <c r="B32" t="s">
        <v>5</v>
      </c>
      <c r="C32">
        <v>23</v>
      </c>
      <c r="D32">
        <v>40</v>
      </c>
      <c r="E32">
        <v>60</v>
      </c>
    </row>
    <row r="33" spans="1:5" x14ac:dyDescent="0.25">
      <c r="A33">
        <v>1</v>
      </c>
      <c r="B33">
        <f t="shared" ref="B33:B38" si="7">LOG10(A33)</f>
        <v>0</v>
      </c>
      <c r="C33" s="1">
        <f t="shared" ref="C33:E38" si="8">1/C3</f>
        <v>2.5000000000000001E-4</v>
      </c>
      <c r="D33" s="1">
        <f t="shared" si="8"/>
        <v>2.9999999999999997E-4</v>
      </c>
      <c r="E33" s="1">
        <f t="shared" si="8"/>
        <v>4.5999999999999996E-4</v>
      </c>
    </row>
    <row r="34" spans="1:5" x14ac:dyDescent="0.25">
      <c r="A34">
        <f>10*A33</f>
        <v>10</v>
      </c>
      <c r="B34">
        <f t="shared" si="7"/>
        <v>1</v>
      </c>
      <c r="C34" s="1">
        <f t="shared" si="8"/>
        <v>2.5999999999999998E-4</v>
      </c>
      <c r="D34" s="1">
        <f t="shared" si="8"/>
        <v>3.5999999999999997E-4</v>
      </c>
      <c r="E34" s="1">
        <f t="shared" si="8"/>
        <v>6.4000000000000005E-4</v>
      </c>
    </row>
    <row r="35" spans="1:5" x14ac:dyDescent="0.25">
      <c r="A35">
        <f>10*A34</f>
        <v>100</v>
      </c>
      <c r="B35">
        <f t="shared" si="7"/>
        <v>2</v>
      </c>
      <c r="C35" s="1">
        <f t="shared" si="8"/>
        <v>2.7E-4</v>
      </c>
      <c r="D35" s="1">
        <f t="shared" si="8"/>
        <v>4.4999999999999999E-4</v>
      </c>
      <c r="E35" s="1">
        <f t="shared" si="8"/>
        <v>9.7999999999999997E-4</v>
      </c>
    </row>
    <row r="36" spans="1:5" x14ac:dyDescent="0.25">
      <c r="A36">
        <f>10*A35</f>
        <v>1000</v>
      </c>
      <c r="B36">
        <f t="shared" si="7"/>
        <v>3</v>
      </c>
      <c r="C36" s="1">
        <f t="shared" si="8"/>
        <v>2.9999999999999997E-4</v>
      </c>
      <c r="D36" s="1">
        <f t="shared" si="8"/>
        <v>6.3000000000000003E-4</v>
      </c>
      <c r="E36" s="1">
        <f t="shared" si="8"/>
        <v>1.6000000000000001E-3</v>
      </c>
    </row>
    <row r="37" spans="1:5" x14ac:dyDescent="0.25">
      <c r="A37">
        <f>10*A36</f>
        <v>10000</v>
      </c>
      <c r="B37">
        <f t="shared" si="7"/>
        <v>4</v>
      </c>
      <c r="C37" s="1">
        <f t="shared" si="8"/>
        <v>4.0000000000000002E-4</v>
      </c>
      <c r="D37" s="1">
        <f t="shared" si="8"/>
        <v>9.6999999999999994E-4</v>
      </c>
      <c r="E37" s="1">
        <f t="shared" si="8"/>
        <v>2.8999999999999998E-3</v>
      </c>
    </row>
    <row r="38" spans="1:5" x14ac:dyDescent="0.25">
      <c r="A38">
        <f>10*A37</f>
        <v>100000</v>
      </c>
      <c r="B38">
        <f t="shared" si="7"/>
        <v>5</v>
      </c>
      <c r="C38" s="1">
        <f t="shared" si="8"/>
        <v>6.5000000000000008E-4</v>
      </c>
      <c r="D38" s="1">
        <f t="shared" si="8"/>
        <v>1.6000000000000001E-3</v>
      </c>
      <c r="E38" s="1">
        <f t="shared" si="8"/>
        <v>5.4999999999999997E-3</v>
      </c>
    </row>
    <row r="40" spans="1:5" x14ac:dyDescent="0.25">
      <c r="A40" t="s">
        <v>0</v>
      </c>
      <c r="C40" t="s">
        <v>2</v>
      </c>
    </row>
    <row r="41" spans="1:5" x14ac:dyDescent="0.25">
      <c r="A41" t="s">
        <v>1</v>
      </c>
      <c r="B41" t="s">
        <v>6</v>
      </c>
      <c r="C41">
        <v>23</v>
      </c>
      <c r="D41">
        <v>40</v>
      </c>
      <c r="E41">
        <v>60</v>
      </c>
    </row>
    <row r="42" spans="1:5" x14ac:dyDescent="0.25">
      <c r="A42">
        <v>1</v>
      </c>
      <c r="B42">
        <f t="shared" ref="B42:B47" si="9">LOG10(A42)</f>
        <v>0</v>
      </c>
      <c r="C42" s="6">
        <f t="shared" ref="C42:E47" si="10">C33/1000000</f>
        <v>2.5000000000000002E-10</v>
      </c>
      <c r="D42" s="6">
        <f t="shared" si="10"/>
        <v>3E-10</v>
      </c>
      <c r="E42" s="6">
        <f t="shared" si="10"/>
        <v>4.5999999999999996E-10</v>
      </c>
    </row>
    <row r="43" spans="1:5" x14ac:dyDescent="0.25">
      <c r="A43">
        <f>10*A42</f>
        <v>10</v>
      </c>
      <c r="B43">
        <f t="shared" si="9"/>
        <v>1</v>
      </c>
      <c r="C43" s="6">
        <f t="shared" si="10"/>
        <v>2.5999999999999998E-10</v>
      </c>
      <c r="D43" s="6">
        <f t="shared" si="10"/>
        <v>3.5999999999999995E-10</v>
      </c>
      <c r="E43" s="6">
        <f t="shared" si="10"/>
        <v>6.4000000000000006E-10</v>
      </c>
    </row>
    <row r="44" spans="1:5" x14ac:dyDescent="0.25">
      <c r="A44">
        <f>10*A43</f>
        <v>100</v>
      </c>
      <c r="B44">
        <f t="shared" si="9"/>
        <v>2</v>
      </c>
      <c r="C44" s="6">
        <f t="shared" si="10"/>
        <v>2.7E-10</v>
      </c>
      <c r="D44" s="6">
        <f t="shared" si="10"/>
        <v>4.5E-10</v>
      </c>
      <c r="E44" s="6">
        <f t="shared" si="10"/>
        <v>9.7999999999999992E-10</v>
      </c>
    </row>
    <row r="45" spans="1:5" x14ac:dyDescent="0.25">
      <c r="A45">
        <f>10*A44</f>
        <v>1000</v>
      </c>
      <c r="B45">
        <f t="shared" si="9"/>
        <v>3</v>
      </c>
      <c r="C45" s="6">
        <f t="shared" si="10"/>
        <v>3E-10</v>
      </c>
      <c r="D45" s="6">
        <f t="shared" si="10"/>
        <v>6.3E-10</v>
      </c>
      <c r="E45" s="6">
        <f t="shared" si="10"/>
        <v>1.6000000000000001E-9</v>
      </c>
    </row>
    <row r="46" spans="1:5" x14ac:dyDescent="0.25">
      <c r="A46">
        <f>10*A45</f>
        <v>10000</v>
      </c>
      <c r="B46">
        <f t="shared" si="9"/>
        <v>4</v>
      </c>
      <c r="C46" s="6">
        <f t="shared" si="10"/>
        <v>4.0000000000000001E-10</v>
      </c>
      <c r="D46" s="6">
        <f t="shared" si="10"/>
        <v>9.6999999999999996E-10</v>
      </c>
      <c r="E46" s="6">
        <f t="shared" si="10"/>
        <v>2.8999999999999999E-9</v>
      </c>
    </row>
    <row r="47" spans="1:5" x14ac:dyDescent="0.25">
      <c r="A47">
        <f>10*A46</f>
        <v>100000</v>
      </c>
      <c r="B47">
        <f t="shared" si="9"/>
        <v>5</v>
      </c>
      <c r="C47" s="6">
        <f t="shared" si="10"/>
        <v>6.5000000000000003E-10</v>
      </c>
      <c r="D47" s="6">
        <f t="shared" si="10"/>
        <v>1.6000000000000001E-9</v>
      </c>
      <c r="E47" s="6">
        <f t="shared" si="10"/>
        <v>5.4999999999999996E-9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7"/>
  <sheetViews>
    <sheetView workbookViewId="0">
      <selection activeCell="B33" sqref="B33"/>
    </sheetView>
  </sheetViews>
  <sheetFormatPr defaultRowHeight="12.5" x14ac:dyDescent="0.25"/>
  <cols>
    <col min="2" max="2" width="8.453125" customWidth="1"/>
    <col min="3" max="4" width="11.453125" bestFit="1" customWidth="1"/>
    <col min="5" max="5" width="11.54296875" bestFit="1" customWidth="1"/>
  </cols>
  <sheetData>
    <row r="1" spans="1:5" x14ac:dyDescent="0.25">
      <c r="A1" t="s">
        <v>0</v>
      </c>
      <c r="C1" t="s">
        <v>2</v>
      </c>
    </row>
    <row r="2" spans="1:5" x14ac:dyDescent="0.25">
      <c r="A2" t="s">
        <v>1</v>
      </c>
      <c r="C2">
        <v>23</v>
      </c>
      <c r="D2">
        <v>40</v>
      </c>
      <c r="E2">
        <v>60</v>
      </c>
    </row>
    <row r="3" spans="1:5" x14ac:dyDescent="0.25">
      <c r="A3">
        <v>1</v>
      </c>
      <c r="B3">
        <f t="shared" ref="B3:B8" si="0">LOG10(A3)</f>
        <v>0</v>
      </c>
      <c r="C3" s="1">
        <v>4000</v>
      </c>
      <c r="D3" s="1">
        <v>3333.3333333333335</v>
      </c>
      <c r="E3" s="1">
        <v>2173.913043478261</v>
      </c>
    </row>
    <row r="4" spans="1:5" x14ac:dyDescent="0.25">
      <c r="A4">
        <f>10*A3</f>
        <v>10</v>
      </c>
      <c r="B4">
        <f t="shared" si="0"/>
        <v>1</v>
      </c>
      <c r="C4" s="1">
        <v>3846.1538461538462</v>
      </c>
      <c r="D4" s="1">
        <v>2777.7777777777778</v>
      </c>
      <c r="E4" s="1">
        <v>1562.5</v>
      </c>
    </row>
    <row r="5" spans="1:5" x14ac:dyDescent="0.25">
      <c r="A5">
        <f>10*A4</f>
        <v>100</v>
      </c>
      <c r="B5">
        <f t="shared" si="0"/>
        <v>2</v>
      </c>
      <c r="C5" s="1">
        <v>3703.7037037037039</v>
      </c>
      <c r="D5" s="1">
        <v>2222.2222222222222</v>
      </c>
      <c r="E5" s="1">
        <v>1020.4081632653063</v>
      </c>
    </row>
    <row r="6" spans="1:5" x14ac:dyDescent="0.25">
      <c r="A6">
        <f>10*A5</f>
        <v>1000</v>
      </c>
      <c r="B6">
        <f t="shared" si="0"/>
        <v>3</v>
      </c>
      <c r="C6" s="1">
        <v>3333.3333333333335</v>
      </c>
      <c r="D6" s="1">
        <v>1587.3015873015872</v>
      </c>
      <c r="E6" s="1">
        <v>625</v>
      </c>
    </row>
    <row r="7" spans="1:5" x14ac:dyDescent="0.25">
      <c r="A7">
        <f>10*A6</f>
        <v>10000</v>
      </c>
      <c r="B7">
        <f t="shared" si="0"/>
        <v>4</v>
      </c>
      <c r="C7" s="1">
        <v>2500</v>
      </c>
      <c r="D7" s="1">
        <v>1030.9278350515465</v>
      </c>
      <c r="E7" s="1">
        <v>344.82758620689657</v>
      </c>
    </row>
    <row r="8" spans="1:5" x14ac:dyDescent="0.25">
      <c r="A8">
        <f>10*A7</f>
        <v>100000</v>
      </c>
      <c r="B8">
        <f t="shared" si="0"/>
        <v>5</v>
      </c>
      <c r="C8" s="1">
        <v>1538.4615384615383</v>
      </c>
      <c r="D8" s="1">
        <v>625</v>
      </c>
      <c r="E8" s="1">
        <v>181.81818181818184</v>
      </c>
    </row>
    <row r="9" spans="1:5" x14ac:dyDescent="0.25">
      <c r="C9" s="1"/>
      <c r="D9" s="1"/>
      <c r="E9" s="1"/>
    </row>
    <row r="11" spans="1:5" ht="13" thickBot="1" x14ac:dyDescent="0.3">
      <c r="A11" t="s">
        <v>3</v>
      </c>
      <c r="C11" t="s">
        <v>4</v>
      </c>
    </row>
    <row r="12" spans="1:5" ht="13.5" thickBot="1" x14ac:dyDescent="0.35">
      <c r="A12" s="2">
        <v>1</v>
      </c>
      <c r="B12">
        <f>LOG10(A12)</f>
        <v>0</v>
      </c>
      <c r="C12" s="5">
        <f>0.00000000000833*$B12^3-0.0000000000346*$B12^2+0.0000000000449*$B12+0.000000000248</f>
        <v>2.4800000000000002E-10</v>
      </c>
      <c r="D12" s="5">
        <f>0.000000000014*$B12^3-0.0000000000361*$B12^2+0.0000000000909*$B12+0.000000000298</f>
        <v>2.98E-10</v>
      </c>
      <c r="E12" s="5">
        <f>0.0000000000639*$B12^3-0.000000000195*$B12^2+0.000000000383*$B12+0.000000000442</f>
        <v>4.4200000000000002E-10</v>
      </c>
    </row>
    <row r="13" spans="1:5" x14ac:dyDescent="0.25">
      <c r="C13" s="1">
        <v>2.6664268638354399E-8</v>
      </c>
      <c r="D13" s="1">
        <v>2.6662851888108501E-8</v>
      </c>
      <c r="E13" s="5">
        <f>D13-C13</f>
        <v>-1.4167502458984408E-12</v>
      </c>
    </row>
    <row r="14" spans="1:5" x14ac:dyDescent="0.25">
      <c r="C14">
        <v>2.4800000000000002E-10</v>
      </c>
      <c r="D14">
        <f>C14*70</f>
        <v>1.7360000000000001E-8</v>
      </c>
      <c r="E14" s="7">
        <f>(E13+D14)*10^6</f>
        <v>1.7358583249754103E-2</v>
      </c>
    </row>
    <row r="16" spans="1:5" x14ac:dyDescent="0.25">
      <c r="A16">
        <v>1</v>
      </c>
      <c r="B16">
        <f t="shared" ref="B16:B22" si="1">LOG10(A16)</f>
        <v>0</v>
      </c>
      <c r="C16" s="4">
        <f t="shared" ref="C16:C22" si="2">0.00000000000833*$B16^3-0.0000000000346*$B16^2+0.0000000000449*$B16+0.000000000248</f>
        <v>2.4800000000000002E-10</v>
      </c>
      <c r="D16" s="4">
        <f t="shared" ref="D16:D22" si="3">0.000000000014*$B16^3-0.0000000000361*$B16^2+0.0000000000909*$B16+0.000000000298</f>
        <v>2.98E-10</v>
      </c>
      <c r="E16" s="4">
        <f t="shared" ref="E16:E21" si="4">0.0000000000639*$B16^3-0.000000000195*$B16^2+0.000000000383*$B16+0.000000000442</f>
        <v>4.4200000000000002E-10</v>
      </c>
    </row>
    <row r="17" spans="1:5" x14ac:dyDescent="0.25">
      <c r="A17">
        <f>10*A16</f>
        <v>10</v>
      </c>
      <c r="B17">
        <f t="shared" si="1"/>
        <v>1</v>
      </c>
      <c r="C17" s="4">
        <f t="shared" si="2"/>
        <v>2.6663000000000004E-10</v>
      </c>
      <c r="D17" s="4">
        <f t="shared" si="3"/>
        <v>3.6680000000000002E-10</v>
      </c>
      <c r="E17" s="4">
        <f t="shared" si="4"/>
        <v>6.9390000000000005E-10</v>
      </c>
    </row>
    <row r="18" spans="1:5" x14ac:dyDescent="0.25">
      <c r="A18">
        <f>10*A17</f>
        <v>100</v>
      </c>
      <c r="B18">
        <f t="shared" si="1"/>
        <v>2</v>
      </c>
      <c r="C18" s="4">
        <f t="shared" si="2"/>
        <v>2.6604000000000004E-10</v>
      </c>
      <c r="D18" s="4">
        <f t="shared" si="3"/>
        <v>4.4740000000000003E-10</v>
      </c>
      <c r="E18" s="4">
        <f t="shared" si="4"/>
        <v>9.3920000000000002E-10</v>
      </c>
    </row>
    <row r="19" spans="1:5" x14ac:dyDescent="0.25">
      <c r="A19">
        <f>10*A18</f>
        <v>1000</v>
      </c>
      <c r="B19">
        <f t="shared" si="1"/>
        <v>3</v>
      </c>
      <c r="C19" s="4">
        <f t="shared" si="2"/>
        <v>2.9621E-10</v>
      </c>
      <c r="D19" s="4">
        <f t="shared" si="3"/>
        <v>6.2380000000000006E-10</v>
      </c>
      <c r="E19" s="4">
        <f t="shared" si="4"/>
        <v>1.5613E-9</v>
      </c>
    </row>
    <row r="20" spans="1:5" x14ac:dyDescent="0.25">
      <c r="A20">
        <f>10*A19</f>
        <v>10000</v>
      </c>
      <c r="B20">
        <f t="shared" si="1"/>
        <v>4</v>
      </c>
      <c r="C20" s="4">
        <f t="shared" si="2"/>
        <v>4.0712000000000004E-10</v>
      </c>
      <c r="D20" s="4">
        <f t="shared" si="3"/>
        <v>9.8000000000000013E-10</v>
      </c>
      <c r="E20" s="4">
        <f t="shared" si="4"/>
        <v>2.9435999999999996E-9</v>
      </c>
    </row>
    <row r="21" spans="1:5" x14ac:dyDescent="0.25">
      <c r="A21">
        <f>10*A20</f>
        <v>100000</v>
      </c>
      <c r="B21">
        <f t="shared" si="1"/>
        <v>5</v>
      </c>
      <c r="C21" s="4">
        <f t="shared" si="2"/>
        <v>6.4875000000000006E-10</v>
      </c>
      <c r="D21" s="4">
        <f t="shared" si="3"/>
        <v>1.6000000000000001E-9</v>
      </c>
      <c r="E21" s="4">
        <f t="shared" si="4"/>
        <v>5.4694999999999998E-9</v>
      </c>
    </row>
    <row r="22" spans="1:5" x14ac:dyDescent="0.25">
      <c r="A22">
        <v>1000000</v>
      </c>
      <c r="B22">
        <f t="shared" si="1"/>
        <v>6</v>
      </c>
      <c r="C22" s="4">
        <f t="shared" si="2"/>
        <v>1.07108E-9</v>
      </c>
      <c r="D22" s="4">
        <f t="shared" si="3"/>
        <v>2.5677999999999998E-9</v>
      </c>
      <c r="E22" s="4"/>
    </row>
    <row r="24" spans="1:5" x14ac:dyDescent="0.25">
      <c r="A24">
        <v>1</v>
      </c>
      <c r="B24">
        <f t="shared" ref="B24:B29" si="5">LOG10(A24)</f>
        <v>0</v>
      </c>
      <c r="C24" s="3">
        <f t="shared" ref="C24:E29" si="6">(1-C16/C3)</f>
        <v>0.99999999999993805</v>
      </c>
      <c r="D24" s="3">
        <f t="shared" si="6"/>
        <v>0.99999999999991063</v>
      </c>
      <c r="E24" s="3">
        <f>(1-E16/E3)</f>
        <v>0.99999999999979672</v>
      </c>
    </row>
    <row r="25" spans="1:5" x14ac:dyDescent="0.25">
      <c r="A25">
        <f>10*A24</f>
        <v>10</v>
      </c>
      <c r="B25">
        <f t="shared" si="5"/>
        <v>1</v>
      </c>
      <c r="C25" s="3">
        <f t="shared" si="6"/>
        <v>0.99999999999993072</v>
      </c>
      <c r="D25" s="3">
        <f t="shared" si="6"/>
        <v>0.99999999999986799</v>
      </c>
      <c r="E25" s="3">
        <f>(1-E17/E4)</f>
        <v>0.99999999999955591</v>
      </c>
    </row>
    <row r="26" spans="1:5" x14ac:dyDescent="0.25">
      <c r="A26">
        <f>10*A25</f>
        <v>100</v>
      </c>
      <c r="B26">
        <f t="shared" si="5"/>
        <v>2</v>
      </c>
      <c r="C26" s="3">
        <f t="shared" si="6"/>
        <v>0.99999999999992817</v>
      </c>
      <c r="D26" s="3">
        <f t="shared" si="6"/>
        <v>0.99999999999979872</v>
      </c>
      <c r="E26" s="3">
        <f t="shared" si="6"/>
        <v>0.99999999999907963</v>
      </c>
    </row>
    <row r="27" spans="1:5" x14ac:dyDescent="0.25">
      <c r="A27">
        <f>10*A26</f>
        <v>1000</v>
      </c>
      <c r="B27">
        <f t="shared" si="5"/>
        <v>3</v>
      </c>
      <c r="C27" s="3">
        <f t="shared" si="6"/>
        <v>0.99999999999991118</v>
      </c>
      <c r="D27" s="3">
        <f t="shared" si="6"/>
        <v>0.99999999999960698</v>
      </c>
      <c r="E27" s="3">
        <f t="shared" si="6"/>
        <v>0.99999999999750189</v>
      </c>
    </row>
    <row r="28" spans="1:5" x14ac:dyDescent="0.25">
      <c r="A28">
        <f>10*A27</f>
        <v>10000</v>
      </c>
      <c r="B28">
        <f t="shared" si="5"/>
        <v>4</v>
      </c>
      <c r="C28" s="3">
        <f t="shared" si="6"/>
        <v>0.99999999999983713</v>
      </c>
      <c r="D28" s="3">
        <f t="shared" si="6"/>
        <v>0.99999999999904943</v>
      </c>
      <c r="E28" s="3">
        <f t="shared" si="6"/>
        <v>0.99999999999146361</v>
      </c>
    </row>
    <row r="29" spans="1:5" x14ac:dyDescent="0.25">
      <c r="A29">
        <f>10*A28</f>
        <v>100000</v>
      </c>
      <c r="B29">
        <f t="shared" si="5"/>
        <v>5</v>
      </c>
      <c r="C29" s="3">
        <f t="shared" si="6"/>
        <v>0.99999999999957834</v>
      </c>
      <c r="D29" s="3">
        <f t="shared" si="6"/>
        <v>0.99999999999744005</v>
      </c>
      <c r="E29" s="3">
        <f t="shared" si="6"/>
        <v>0.99999999996991773</v>
      </c>
    </row>
    <row r="30" spans="1:5" x14ac:dyDescent="0.25">
      <c r="C30" s="3"/>
      <c r="D30" s="3"/>
      <c r="E30" s="3"/>
    </row>
    <row r="31" spans="1:5" x14ac:dyDescent="0.25">
      <c r="A31" t="s">
        <v>0</v>
      </c>
      <c r="C31" t="s">
        <v>2</v>
      </c>
    </row>
    <row r="32" spans="1:5" x14ac:dyDescent="0.25">
      <c r="A32" t="s">
        <v>1</v>
      </c>
      <c r="B32" t="s">
        <v>5</v>
      </c>
      <c r="C32">
        <v>23</v>
      </c>
      <c r="D32">
        <v>40</v>
      </c>
      <c r="E32">
        <v>60</v>
      </c>
    </row>
    <row r="33" spans="1:5" x14ac:dyDescent="0.25">
      <c r="A33">
        <v>1</v>
      </c>
      <c r="B33">
        <f t="shared" ref="B33:B38" si="7">LOG10(A33)</f>
        <v>0</v>
      </c>
      <c r="C33" s="1">
        <f>1/C3</f>
        <v>2.5000000000000001E-4</v>
      </c>
      <c r="D33" s="1">
        <f t="shared" ref="C33:E38" si="8">1/D3</f>
        <v>2.9999999999999997E-4</v>
      </c>
      <c r="E33" s="1">
        <f>1/E3</f>
        <v>4.5999999999999996E-4</v>
      </c>
    </row>
    <row r="34" spans="1:5" x14ac:dyDescent="0.25">
      <c r="A34">
        <f>10*A33</f>
        <v>10</v>
      </c>
      <c r="B34">
        <f t="shared" si="7"/>
        <v>1</v>
      </c>
      <c r="C34" s="1">
        <f t="shared" si="8"/>
        <v>2.5999999999999998E-4</v>
      </c>
      <c r="D34" s="1">
        <f t="shared" si="8"/>
        <v>3.5999999999999997E-4</v>
      </c>
      <c r="E34" s="1">
        <f t="shared" si="8"/>
        <v>6.4000000000000005E-4</v>
      </c>
    </row>
    <row r="35" spans="1:5" x14ac:dyDescent="0.25">
      <c r="A35">
        <f>10*A34</f>
        <v>100</v>
      </c>
      <c r="B35">
        <f t="shared" si="7"/>
        <v>2</v>
      </c>
      <c r="C35" s="1">
        <f t="shared" si="8"/>
        <v>2.7E-4</v>
      </c>
      <c r="D35" s="1">
        <f t="shared" si="8"/>
        <v>4.4999999999999999E-4</v>
      </c>
      <c r="E35" s="1">
        <f t="shared" si="8"/>
        <v>9.7999999999999997E-4</v>
      </c>
    </row>
    <row r="36" spans="1:5" x14ac:dyDescent="0.25">
      <c r="A36">
        <f>10*A35</f>
        <v>1000</v>
      </c>
      <c r="B36">
        <f t="shared" si="7"/>
        <v>3</v>
      </c>
      <c r="C36" s="1">
        <f t="shared" si="8"/>
        <v>2.9999999999999997E-4</v>
      </c>
      <c r="D36" s="1">
        <f t="shared" si="8"/>
        <v>6.3000000000000003E-4</v>
      </c>
      <c r="E36" s="1">
        <f t="shared" si="8"/>
        <v>1.6000000000000001E-3</v>
      </c>
    </row>
    <row r="37" spans="1:5" x14ac:dyDescent="0.25">
      <c r="A37">
        <f>10*A36</f>
        <v>10000</v>
      </c>
      <c r="B37">
        <f t="shared" si="7"/>
        <v>4</v>
      </c>
      <c r="C37" s="1">
        <f t="shared" si="8"/>
        <v>4.0000000000000002E-4</v>
      </c>
      <c r="D37" s="1">
        <f t="shared" si="8"/>
        <v>9.6999999999999994E-4</v>
      </c>
      <c r="E37" s="1">
        <f t="shared" si="8"/>
        <v>2.8999999999999998E-3</v>
      </c>
    </row>
    <row r="38" spans="1:5" x14ac:dyDescent="0.25">
      <c r="A38">
        <f>10*A37</f>
        <v>100000</v>
      </c>
      <c r="B38">
        <f t="shared" si="7"/>
        <v>5</v>
      </c>
      <c r="C38" s="1">
        <f t="shared" si="8"/>
        <v>6.5000000000000008E-4</v>
      </c>
      <c r="D38" s="1">
        <f t="shared" si="8"/>
        <v>1.6000000000000001E-3</v>
      </c>
      <c r="E38" s="1">
        <f t="shared" si="8"/>
        <v>5.4999999999999997E-3</v>
      </c>
    </row>
    <row r="40" spans="1:5" x14ac:dyDescent="0.25">
      <c r="A40" t="s">
        <v>0</v>
      </c>
      <c r="C40" t="s">
        <v>2</v>
      </c>
    </row>
    <row r="41" spans="1:5" x14ac:dyDescent="0.25">
      <c r="A41" t="s">
        <v>1</v>
      </c>
      <c r="B41" t="s">
        <v>6</v>
      </c>
      <c r="C41">
        <v>23</v>
      </c>
      <c r="D41">
        <v>40</v>
      </c>
      <c r="E41">
        <v>60</v>
      </c>
    </row>
    <row r="42" spans="1:5" x14ac:dyDescent="0.25">
      <c r="A42">
        <v>1</v>
      </c>
      <c r="B42">
        <f t="shared" ref="B42:B47" si="9">LOG10(A42)</f>
        <v>0</v>
      </c>
      <c r="C42" s="6">
        <f t="shared" ref="C42:E47" si="10">C33/1000000</f>
        <v>2.5000000000000002E-10</v>
      </c>
      <c r="D42" s="6">
        <f t="shared" si="10"/>
        <v>3E-10</v>
      </c>
      <c r="E42" s="6">
        <f t="shared" si="10"/>
        <v>4.5999999999999996E-10</v>
      </c>
    </row>
    <row r="43" spans="1:5" x14ac:dyDescent="0.25">
      <c r="A43">
        <f>10*A42</f>
        <v>10</v>
      </c>
      <c r="B43">
        <f t="shared" si="9"/>
        <v>1</v>
      </c>
      <c r="C43" s="6">
        <f t="shared" si="10"/>
        <v>2.5999999999999998E-10</v>
      </c>
      <c r="D43" s="6">
        <f t="shared" si="10"/>
        <v>3.5999999999999995E-10</v>
      </c>
      <c r="E43" s="6">
        <f t="shared" si="10"/>
        <v>6.4000000000000006E-10</v>
      </c>
    </row>
    <row r="44" spans="1:5" x14ac:dyDescent="0.25">
      <c r="A44">
        <f>10*A43</f>
        <v>100</v>
      </c>
      <c r="B44">
        <f t="shared" si="9"/>
        <v>2</v>
      </c>
      <c r="C44" s="6">
        <f t="shared" si="10"/>
        <v>2.7E-10</v>
      </c>
      <c r="D44" s="6">
        <f t="shared" si="10"/>
        <v>4.5E-10</v>
      </c>
      <c r="E44" s="6">
        <f t="shared" si="10"/>
        <v>9.7999999999999992E-10</v>
      </c>
    </row>
    <row r="45" spans="1:5" x14ac:dyDescent="0.25">
      <c r="A45">
        <f>10*A44</f>
        <v>1000</v>
      </c>
      <c r="B45">
        <f t="shared" si="9"/>
        <v>3</v>
      </c>
      <c r="C45" s="6">
        <f t="shared" si="10"/>
        <v>3E-10</v>
      </c>
      <c r="D45" s="6">
        <f t="shared" si="10"/>
        <v>6.3E-10</v>
      </c>
      <c r="E45" s="6">
        <f t="shared" si="10"/>
        <v>1.6000000000000001E-9</v>
      </c>
    </row>
    <row r="46" spans="1:5" x14ac:dyDescent="0.25">
      <c r="A46">
        <f>10*A45</f>
        <v>10000</v>
      </c>
      <c r="B46">
        <f t="shared" si="9"/>
        <v>4</v>
      </c>
      <c r="C46" s="6">
        <f t="shared" si="10"/>
        <v>4.0000000000000001E-10</v>
      </c>
      <c r="D46" s="6">
        <f t="shared" si="10"/>
        <v>9.6999999999999996E-10</v>
      </c>
      <c r="E46" s="6">
        <f t="shared" si="10"/>
        <v>2.8999999999999999E-9</v>
      </c>
    </row>
    <row r="47" spans="1:5" x14ac:dyDescent="0.25">
      <c r="A47">
        <f>10*A46</f>
        <v>100000</v>
      </c>
      <c r="B47">
        <f t="shared" si="9"/>
        <v>5</v>
      </c>
      <c r="C47" s="6">
        <f t="shared" si="10"/>
        <v>6.5000000000000003E-10</v>
      </c>
      <c r="D47" s="6">
        <f t="shared" si="10"/>
        <v>1.6000000000000001E-9</v>
      </c>
      <c r="E47" s="6">
        <f t="shared" si="10"/>
        <v>5.4999999999999996E-9</v>
      </c>
    </row>
  </sheetData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zoomScale="85" workbookViewId="0"/>
  </sheetViews>
  <sheetFormatPr defaultRowHeight="12.5" x14ac:dyDescent="0.25"/>
  <sheetData>
    <row r="1" spans="1:1" x14ac:dyDescent="0.25">
      <c r="A1" t="s">
        <v>7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9</vt:i4>
      </vt:variant>
    </vt:vector>
  </HeadingPairs>
  <TitlesOfParts>
    <vt:vector size="15" baseType="lpstr">
      <vt:lpstr>Sheet1</vt:lpstr>
      <vt:lpstr>DATA J(t,T)</vt:lpstr>
      <vt:lpstr>DATA J(t,T) (2)</vt:lpstr>
      <vt:lpstr>DATA E(t,T)</vt:lpstr>
      <vt:lpstr>DATA E(t,T) (2)</vt:lpstr>
      <vt:lpstr>143E campusplastics</vt:lpstr>
      <vt:lpstr>Chart 2D POWER (2)</vt:lpstr>
      <vt:lpstr>Chart 2D POWER</vt:lpstr>
      <vt:lpstr>J(t,T) 2D</vt:lpstr>
      <vt:lpstr>J(t,T) 3D</vt:lpstr>
      <vt:lpstr>J(t,T) plot</vt:lpstr>
      <vt:lpstr>J(t,T) plot (2)</vt:lpstr>
      <vt:lpstr>E(t,T) plot</vt:lpstr>
      <vt:lpstr>E(t,T) plot (2)</vt:lpstr>
      <vt:lpstr>E(t,T) plot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Tosello</dc:creator>
  <cp:lastModifiedBy>Yang Zhang</cp:lastModifiedBy>
  <cp:lastPrinted>2010-02-18T09:52:18Z</cp:lastPrinted>
  <dcterms:created xsi:type="dcterms:W3CDTF">1996-10-14T23:33:28Z</dcterms:created>
  <dcterms:modified xsi:type="dcterms:W3CDTF">2022-02-20T19:03:36Z</dcterms:modified>
</cp:coreProperties>
</file>